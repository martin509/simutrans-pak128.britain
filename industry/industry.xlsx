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Rideau Truck\Documents\"/>
    </mc:Choice>
  </mc:AlternateContent>
  <xr:revisionPtr revIDLastSave="0" documentId="13_ncr:1_{F6C814E6-8D03-4793-8171-A3CF42B80644}" xr6:coauthVersionLast="47" xr6:coauthVersionMax="47" xr10:uidLastSave="{00000000-0000-0000-0000-000000000000}"/>
  <bookViews>
    <workbookView xWindow="-120" yWindow="-120" windowWidth="29040" windowHeight="15720" firstSheet="1" activeTab="3" xr2:uid="{5E28C574-94B7-40B9-9081-619E63A6A598}"/>
  </bookViews>
  <sheets>
    <sheet name="sources_consumption" sheetId="1" r:id="rId1"/>
    <sheet name="sources_distweight" sheetId="9" r:id="rId2"/>
    <sheet name="dist_calculations" sheetId="10" r:id="rId3"/>
    <sheet name="food summary" sheetId="8" r:id="rId4"/>
    <sheet name="meat" sheetId="2" r:id="rId5"/>
    <sheet name="milk" sheetId="7" r:id="rId6"/>
    <sheet name="fish" sheetId="3" r:id="rId7"/>
    <sheet name="flour" sheetId="4" r:id="rId8"/>
    <sheet name="vegetables" sheetId="5" r:id="rId9"/>
    <sheet name="fruit" sheetId="6" r:id="rId10"/>
    <sheet name="canned" sheetId="11" r:id="rId11"/>
    <sheet name="beer" sheetId="12" r:id="rId1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29" i="10" l="1"/>
  <c r="C68" i="8" s="1"/>
  <c r="D29" i="10"/>
  <c r="H4" i="9"/>
  <c r="F4" i="9"/>
  <c r="E20" i="10"/>
  <c r="D20" i="10"/>
  <c r="F16" i="9"/>
  <c r="F7" i="9"/>
  <c r="H7" i="9"/>
  <c r="H3" i="9"/>
  <c r="F3" i="9"/>
  <c r="H6" i="9"/>
  <c r="F6" i="9"/>
  <c r="F22" i="9"/>
  <c r="H15" i="9"/>
  <c r="H22" i="9"/>
  <c r="H11" i="9"/>
  <c r="F11" i="9"/>
  <c r="E25" i="9"/>
  <c r="H23" i="9"/>
  <c r="E10" i="2"/>
  <c r="J163" i="8"/>
  <c r="J162" i="8"/>
  <c r="J161" i="8"/>
  <c r="J160" i="8"/>
  <c r="J159" i="8"/>
  <c r="J158" i="8"/>
  <c r="J157" i="8"/>
  <c r="J156" i="8"/>
  <c r="J155" i="8"/>
  <c r="J154" i="8"/>
  <c r="J153" i="8"/>
  <c r="J152" i="8"/>
  <c r="J151" i="8"/>
  <c r="J150" i="8"/>
  <c r="J149" i="8"/>
  <c r="J148" i="8"/>
  <c r="J147" i="8"/>
  <c r="J146" i="8"/>
  <c r="J145" i="8"/>
  <c r="J144" i="8"/>
  <c r="J143" i="8"/>
  <c r="J142" i="8"/>
  <c r="J141" i="8"/>
  <c r="J140" i="8"/>
  <c r="J139" i="8"/>
  <c r="J138" i="8"/>
  <c r="J137" i="8"/>
  <c r="J136" i="8"/>
  <c r="J135" i="8"/>
  <c r="J134" i="8"/>
  <c r="J133" i="8"/>
  <c r="J132" i="8"/>
  <c r="J131" i="8"/>
  <c r="J130" i="8"/>
  <c r="J129" i="8"/>
  <c r="J128" i="8"/>
  <c r="J127" i="8"/>
  <c r="J126" i="8"/>
  <c r="B73" i="1"/>
  <c r="B72" i="1"/>
  <c r="B71" i="1"/>
  <c r="G74" i="1"/>
  <c r="D74" i="1"/>
  <c r="D73" i="1"/>
  <c r="D71" i="1"/>
  <c r="D72" i="1"/>
  <c r="F73" i="1"/>
  <c r="G73" i="1" s="1"/>
  <c r="F72" i="1"/>
  <c r="G72" i="1" s="1"/>
  <c r="F71" i="1"/>
  <c r="G71" i="1" s="1"/>
  <c r="G75" i="1" s="1"/>
  <c r="C31" i="3"/>
  <c r="C31" i="5"/>
  <c r="C24" i="11"/>
  <c r="D25" i="1"/>
  <c r="D20" i="11" s="1"/>
  <c r="J217" i="8"/>
  <c r="J216" i="8"/>
  <c r="J215" i="8"/>
  <c r="J214" i="8"/>
  <c r="J213" i="8"/>
  <c r="J212" i="8"/>
  <c r="J211" i="8"/>
  <c r="J210" i="8"/>
  <c r="J209" i="8"/>
  <c r="J208" i="8"/>
  <c r="J207" i="8"/>
  <c r="D23" i="1"/>
  <c r="D36" i="1"/>
  <c r="D28" i="6" s="1"/>
  <c r="D25" i="6"/>
  <c r="C30" i="4"/>
  <c r="H26" i="9"/>
  <c r="I214" i="8"/>
  <c r="H214" i="8"/>
  <c r="G214" i="8"/>
  <c r="F214" i="8"/>
  <c r="E214" i="8"/>
  <c r="D214" i="8"/>
  <c r="C214" i="8"/>
  <c r="B214" i="8"/>
  <c r="B75" i="8"/>
  <c r="E6" i="11"/>
  <c r="H6" i="11" s="1"/>
  <c r="E10" i="6"/>
  <c r="H10" i="6" s="1"/>
  <c r="E10" i="5"/>
  <c r="H10" i="5" s="1"/>
  <c r="E6" i="4"/>
  <c r="H6" i="4" s="1"/>
  <c r="E10" i="3"/>
  <c r="H10" i="3" s="1"/>
  <c r="E34" i="8" s="1"/>
  <c r="E5" i="7"/>
  <c r="H10" i="2"/>
  <c r="C34" i="8" s="1"/>
  <c r="F12" i="9"/>
  <c r="E23" i="9"/>
  <c r="H31" i="9"/>
  <c r="H32" i="9"/>
  <c r="H33" i="9"/>
  <c r="D42" i="10" s="1"/>
  <c r="C72" i="8"/>
  <c r="C65" i="8"/>
  <c r="C57" i="8"/>
  <c r="C49" i="8"/>
  <c r="C62" i="8"/>
  <c r="C54" i="8"/>
  <c r="C45" i="8"/>
  <c r="C44" i="8"/>
  <c r="I149" i="8"/>
  <c r="I190" i="8" s="1"/>
  <c r="H149" i="8"/>
  <c r="H190" i="8" s="1"/>
  <c r="G149" i="8"/>
  <c r="G190" i="8" s="1"/>
  <c r="F149" i="8"/>
  <c r="F190" i="8" s="1"/>
  <c r="E149" i="8"/>
  <c r="E190" i="8" s="1"/>
  <c r="D149" i="8"/>
  <c r="D190" i="8" s="1"/>
  <c r="C149" i="8"/>
  <c r="C190" i="8" s="1"/>
  <c r="B149" i="8"/>
  <c r="B190" i="8" s="1"/>
  <c r="I141" i="8"/>
  <c r="I182" i="8" s="1"/>
  <c r="H141" i="8"/>
  <c r="H182" i="8" s="1"/>
  <c r="G141" i="8"/>
  <c r="G182" i="8" s="1"/>
  <c r="F141" i="8"/>
  <c r="F182" i="8" s="1"/>
  <c r="E141" i="8"/>
  <c r="E182" i="8" s="1"/>
  <c r="D141" i="8"/>
  <c r="D182" i="8" s="1"/>
  <c r="C141" i="8"/>
  <c r="C182" i="8" s="1"/>
  <c r="B141" i="8"/>
  <c r="B182" i="8" s="1"/>
  <c r="I133" i="8"/>
  <c r="I174" i="8" s="1"/>
  <c r="H133" i="8"/>
  <c r="H174" i="8" s="1"/>
  <c r="G133" i="8"/>
  <c r="G174" i="8" s="1"/>
  <c r="F133" i="8"/>
  <c r="F174" i="8" s="1"/>
  <c r="E133" i="8"/>
  <c r="E174" i="8" s="1"/>
  <c r="D133" i="8"/>
  <c r="D174" i="8" s="1"/>
  <c r="C133" i="8"/>
  <c r="C174" i="8" s="1"/>
  <c r="B133" i="8"/>
  <c r="B174" i="8" s="1"/>
  <c r="I156" i="8"/>
  <c r="I197" i="8" s="1"/>
  <c r="H156" i="8"/>
  <c r="H197" i="8" s="1"/>
  <c r="G156" i="8"/>
  <c r="G197" i="8" s="1"/>
  <c r="F156" i="8"/>
  <c r="F197" i="8" s="1"/>
  <c r="E156" i="8"/>
  <c r="E197" i="8" s="1"/>
  <c r="D156" i="8"/>
  <c r="D197" i="8" s="1"/>
  <c r="C156" i="8"/>
  <c r="C197" i="8" s="1"/>
  <c r="B156" i="8"/>
  <c r="B197" i="8" s="1"/>
  <c r="P160" i="8"/>
  <c r="O160" i="8"/>
  <c r="N160" i="8"/>
  <c r="M160" i="8"/>
  <c r="L160" i="8"/>
  <c r="K160" i="8"/>
  <c r="I161" i="8"/>
  <c r="I202" i="8" s="1"/>
  <c r="H161" i="8"/>
  <c r="H202" i="8" s="1"/>
  <c r="G161" i="8"/>
  <c r="G202" i="8" s="1"/>
  <c r="F161" i="8"/>
  <c r="F202" i="8" s="1"/>
  <c r="E161" i="8"/>
  <c r="E202" i="8" s="1"/>
  <c r="D161" i="8"/>
  <c r="D202" i="8" s="1"/>
  <c r="C161" i="8"/>
  <c r="C202" i="8" s="1"/>
  <c r="B161" i="8"/>
  <c r="B202" i="8" s="1"/>
  <c r="I160" i="8"/>
  <c r="I201" i="8" s="1"/>
  <c r="H160" i="8"/>
  <c r="H201" i="8" s="1"/>
  <c r="G160" i="8"/>
  <c r="G201" i="8" s="1"/>
  <c r="F160" i="8"/>
  <c r="F201" i="8" s="1"/>
  <c r="E160" i="8"/>
  <c r="E201" i="8" s="1"/>
  <c r="D160" i="8"/>
  <c r="D201" i="8" s="1"/>
  <c r="C160" i="8"/>
  <c r="C201" i="8" s="1"/>
  <c r="B160" i="8"/>
  <c r="B201" i="8" s="1"/>
  <c r="I37" i="8"/>
  <c r="J10" i="8"/>
  <c r="J18" i="8"/>
  <c r="J26" i="8"/>
  <c r="J33" i="8"/>
  <c r="J38" i="8"/>
  <c r="J37" i="8"/>
  <c r="C78" i="8"/>
  <c r="C74" i="8"/>
  <c r="C67" i="8"/>
  <c r="C59" i="8"/>
  <c r="C51" i="8"/>
  <c r="C79" i="8"/>
  <c r="D47" i="1"/>
  <c r="C47" i="1"/>
  <c r="D9" i="1"/>
  <c r="D16" i="12" s="1"/>
  <c r="D46" i="1"/>
  <c r="D9" i="12"/>
  <c r="D8" i="12"/>
  <c r="H7" i="12"/>
  <c r="D7" i="12"/>
  <c r="H6" i="12"/>
  <c r="D6" i="12"/>
  <c r="H5" i="12"/>
  <c r="C20" i="12" s="1"/>
  <c r="D5" i="12"/>
  <c r="H4" i="12"/>
  <c r="D4" i="12"/>
  <c r="H3" i="12"/>
  <c r="C17" i="12" s="1"/>
  <c r="D3" i="12"/>
  <c r="H2" i="12"/>
  <c r="C15" i="12" s="1"/>
  <c r="D2" i="12"/>
  <c r="I163" i="8"/>
  <c r="I204" i="8" s="1"/>
  <c r="H163" i="8"/>
  <c r="H204" i="8" s="1"/>
  <c r="G163" i="8"/>
  <c r="G204" i="8" s="1"/>
  <c r="F163" i="8"/>
  <c r="F204" i="8" s="1"/>
  <c r="E163" i="8"/>
  <c r="E204" i="8" s="1"/>
  <c r="D163" i="8"/>
  <c r="D204" i="8" s="1"/>
  <c r="C163" i="8"/>
  <c r="C204" i="8" s="1"/>
  <c r="B163" i="8"/>
  <c r="B204" i="8" s="1"/>
  <c r="I162" i="8"/>
  <c r="I203" i="8" s="1"/>
  <c r="H162" i="8"/>
  <c r="H203" i="8" s="1"/>
  <c r="G162" i="8"/>
  <c r="G203" i="8" s="1"/>
  <c r="F162" i="8"/>
  <c r="F203" i="8" s="1"/>
  <c r="E162" i="8"/>
  <c r="E203" i="8" s="1"/>
  <c r="D162" i="8"/>
  <c r="D203" i="8" s="1"/>
  <c r="C162" i="8"/>
  <c r="C203" i="8" s="1"/>
  <c r="B162" i="8"/>
  <c r="B203" i="8" s="1"/>
  <c r="I159" i="8"/>
  <c r="I200" i="8" s="1"/>
  <c r="H159" i="8"/>
  <c r="H200" i="8" s="1"/>
  <c r="G159" i="8"/>
  <c r="G200" i="8" s="1"/>
  <c r="F159" i="8"/>
  <c r="F200" i="8" s="1"/>
  <c r="E159" i="8"/>
  <c r="E200" i="8" s="1"/>
  <c r="D159" i="8"/>
  <c r="D200" i="8" s="1"/>
  <c r="C159" i="8"/>
  <c r="C200" i="8" s="1"/>
  <c r="B159" i="8"/>
  <c r="B200" i="8" s="1"/>
  <c r="I158" i="8"/>
  <c r="I199" i="8" s="1"/>
  <c r="H158" i="8"/>
  <c r="H199" i="8" s="1"/>
  <c r="G158" i="8"/>
  <c r="G199" i="8" s="1"/>
  <c r="F158" i="8"/>
  <c r="F199" i="8" s="1"/>
  <c r="E158" i="8"/>
  <c r="E199" i="8" s="1"/>
  <c r="D158" i="8"/>
  <c r="D199" i="8" s="1"/>
  <c r="C158" i="8"/>
  <c r="C199" i="8" s="1"/>
  <c r="B158" i="8"/>
  <c r="B199" i="8" s="1"/>
  <c r="I157" i="8"/>
  <c r="I198" i="8" s="1"/>
  <c r="H157" i="8"/>
  <c r="H198" i="8" s="1"/>
  <c r="G157" i="8"/>
  <c r="G198" i="8" s="1"/>
  <c r="F157" i="8"/>
  <c r="F198" i="8" s="1"/>
  <c r="E157" i="8"/>
  <c r="E198" i="8" s="1"/>
  <c r="D157" i="8"/>
  <c r="D198" i="8" s="1"/>
  <c r="C157" i="8"/>
  <c r="C198" i="8" s="1"/>
  <c r="B157" i="8"/>
  <c r="B198" i="8" s="1"/>
  <c r="I155" i="8"/>
  <c r="I196" i="8" s="1"/>
  <c r="H155" i="8"/>
  <c r="H196" i="8" s="1"/>
  <c r="G155" i="8"/>
  <c r="G196" i="8" s="1"/>
  <c r="F155" i="8"/>
  <c r="F196" i="8" s="1"/>
  <c r="E155" i="8"/>
  <c r="E196" i="8" s="1"/>
  <c r="D155" i="8"/>
  <c r="D196" i="8" s="1"/>
  <c r="C155" i="8"/>
  <c r="C196" i="8" s="1"/>
  <c r="B155" i="8"/>
  <c r="B196" i="8" s="1"/>
  <c r="I154" i="8"/>
  <c r="I195" i="8" s="1"/>
  <c r="H154" i="8"/>
  <c r="H195" i="8" s="1"/>
  <c r="G154" i="8"/>
  <c r="G195" i="8" s="1"/>
  <c r="F154" i="8"/>
  <c r="F195" i="8" s="1"/>
  <c r="E154" i="8"/>
  <c r="E195" i="8" s="1"/>
  <c r="D154" i="8"/>
  <c r="D195" i="8" s="1"/>
  <c r="C154" i="8"/>
  <c r="C195" i="8" s="1"/>
  <c r="B154" i="8"/>
  <c r="B195" i="8" s="1"/>
  <c r="I153" i="8"/>
  <c r="I194" i="8" s="1"/>
  <c r="H153" i="8"/>
  <c r="H194" i="8" s="1"/>
  <c r="G153" i="8"/>
  <c r="G194" i="8" s="1"/>
  <c r="F153" i="8"/>
  <c r="F194" i="8" s="1"/>
  <c r="E153" i="8"/>
  <c r="E194" i="8" s="1"/>
  <c r="D153" i="8"/>
  <c r="D194" i="8" s="1"/>
  <c r="C153" i="8"/>
  <c r="C194" i="8" s="1"/>
  <c r="B153" i="8"/>
  <c r="B194" i="8" s="1"/>
  <c r="I152" i="8"/>
  <c r="I193" i="8" s="1"/>
  <c r="H152" i="8"/>
  <c r="H193" i="8" s="1"/>
  <c r="G152" i="8"/>
  <c r="G193" i="8" s="1"/>
  <c r="F152" i="8"/>
  <c r="F193" i="8" s="1"/>
  <c r="E152" i="8"/>
  <c r="E193" i="8" s="1"/>
  <c r="D152" i="8"/>
  <c r="D193" i="8" s="1"/>
  <c r="C152" i="8"/>
  <c r="C193" i="8" s="1"/>
  <c r="B152" i="8"/>
  <c r="B193" i="8" s="1"/>
  <c r="I151" i="8"/>
  <c r="I192" i="8" s="1"/>
  <c r="H151" i="8"/>
  <c r="H192" i="8" s="1"/>
  <c r="G151" i="8"/>
  <c r="G192" i="8" s="1"/>
  <c r="F151" i="8"/>
  <c r="F192" i="8" s="1"/>
  <c r="E151" i="8"/>
  <c r="E192" i="8" s="1"/>
  <c r="D151" i="8"/>
  <c r="D192" i="8" s="1"/>
  <c r="C151" i="8"/>
  <c r="C192" i="8" s="1"/>
  <c r="B151" i="8"/>
  <c r="B192" i="8" s="1"/>
  <c r="I150" i="8"/>
  <c r="I191" i="8" s="1"/>
  <c r="H150" i="8"/>
  <c r="H191" i="8" s="1"/>
  <c r="G150" i="8"/>
  <c r="G191" i="8" s="1"/>
  <c r="F150" i="8"/>
  <c r="F191" i="8" s="1"/>
  <c r="E150" i="8"/>
  <c r="E191" i="8" s="1"/>
  <c r="D150" i="8"/>
  <c r="D191" i="8" s="1"/>
  <c r="C150" i="8"/>
  <c r="C191" i="8" s="1"/>
  <c r="B150" i="8"/>
  <c r="B191" i="8" s="1"/>
  <c r="I148" i="8"/>
  <c r="I189" i="8" s="1"/>
  <c r="H148" i="8"/>
  <c r="H189" i="8" s="1"/>
  <c r="G148" i="8"/>
  <c r="G189" i="8" s="1"/>
  <c r="F148" i="8"/>
  <c r="F189" i="8" s="1"/>
  <c r="E148" i="8"/>
  <c r="E189" i="8" s="1"/>
  <c r="D148" i="8"/>
  <c r="D189" i="8" s="1"/>
  <c r="C148" i="8"/>
  <c r="C189" i="8" s="1"/>
  <c r="B148" i="8"/>
  <c r="B189" i="8" s="1"/>
  <c r="I147" i="8"/>
  <c r="I188" i="8" s="1"/>
  <c r="H147" i="8"/>
  <c r="H188" i="8" s="1"/>
  <c r="G147" i="8"/>
  <c r="G188" i="8" s="1"/>
  <c r="F147" i="8"/>
  <c r="F188" i="8" s="1"/>
  <c r="E147" i="8"/>
  <c r="E188" i="8" s="1"/>
  <c r="D147" i="8"/>
  <c r="D188" i="8" s="1"/>
  <c r="C147" i="8"/>
  <c r="C188" i="8" s="1"/>
  <c r="B147" i="8"/>
  <c r="B188" i="8" s="1"/>
  <c r="I146" i="8"/>
  <c r="I187" i="8" s="1"/>
  <c r="H146" i="8"/>
  <c r="H187" i="8" s="1"/>
  <c r="G146" i="8"/>
  <c r="G187" i="8" s="1"/>
  <c r="F146" i="8"/>
  <c r="F187" i="8" s="1"/>
  <c r="E146" i="8"/>
  <c r="E187" i="8" s="1"/>
  <c r="D146" i="8"/>
  <c r="D187" i="8" s="1"/>
  <c r="C146" i="8"/>
  <c r="C187" i="8" s="1"/>
  <c r="B146" i="8"/>
  <c r="B187" i="8" s="1"/>
  <c r="I145" i="8"/>
  <c r="I186" i="8" s="1"/>
  <c r="H145" i="8"/>
  <c r="H186" i="8" s="1"/>
  <c r="G145" i="8"/>
  <c r="G186" i="8" s="1"/>
  <c r="F145" i="8"/>
  <c r="F186" i="8" s="1"/>
  <c r="E145" i="8"/>
  <c r="E186" i="8" s="1"/>
  <c r="D145" i="8"/>
  <c r="D186" i="8" s="1"/>
  <c r="C145" i="8"/>
  <c r="C186" i="8" s="1"/>
  <c r="B145" i="8"/>
  <c r="B186" i="8" s="1"/>
  <c r="I144" i="8"/>
  <c r="I185" i="8" s="1"/>
  <c r="H144" i="8"/>
  <c r="H185" i="8" s="1"/>
  <c r="G144" i="8"/>
  <c r="G185" i="8" s="1"/>
  <c r="F144" i="8"/>
  <c r="F185" i="8" s="1"/>
  <c r="E144" i="8"/>
  <c r="E185" i="8" s="1"/>
  <c r="D144" i="8"/>
  <c r="D185" i="8" s="1"/>
  <c r="C144" i="8"/>
  <c r="C185" i="8" s="1"/>
  <c r="B144" i="8"/>
  <c r="B185" i="8" s="1"/>
  <c r="I143" i="8"/>
  <c r="I184" i="8" s="1"/>
  <c r="H143" i="8"/>
  <c r="H184" i="8" s="1"/>
  <c r="G143" i="8"/>
  <c r="G184" i="8" s="1"/>
  <c r="F143" i="8"/>
  <c r="F184" i="8" s="1"/>
  <c r="E143" i="8"/>
  <c r="E184" i="8" s="1"/>
  <c r="D143" i="8"/>
  <c r="D184" i="8" s="1"/>
  <c r="C143" i="8"/>
  <c r="C184" i="8" s="1"/>
  <c r="B143" i="8"/>
  <c r="B184" i="8" s="1"/>
  <c r="I142" i="8"/>
  <c r="I183" i="8" s="1"/>
  <c r="I213" i="8" s="1"/>
  <c r="H142" i="8"/>
  <c r="H183" i="8" s="1"/>
  <c r="H213" i="8" s="1"/>
  <c r="G142" i="8"/>
  <c r="G183" i="8" s="1"/>
  <c r="G213" i="8" s="1"/>
  <c r="F142" i="8"/>
  <c r="F183" i="8" s="1"/>
  <c r="F213" i="8" s="1"/>
  <c r="E142" i="8"/>
  <c r="E183" i="8" s="1"/>
  <c r="D142" i="8"/>
  <c r="D183" i="8" s="1"/>
  <c r="C142" i="8"/>
  <c r="C183" i="8" s="1"/>
  <c r="B142" i="8"/>
  <c r="B183" i="8" s="1"/>
  <c r="I140" i="8"/>
  <c r="I181" i="8" s="1"/>
  <c r="H140" i="8"/>
  <c r="H181" i="8" s="1"/>
  <c r="G140" i="8"/>
  <c r="G181" i="8" s="1"/>
  <c r="F140" i="8"/>
  <c r="F181" i="8" s="1"/>
  <c r="E140" i="8"/>
  <c r="E181" i="8" s="1"/>
  <c r="D140" i="8"/>
  <c r="D181" i="8" s="1"/>
  <c r="C140" i="8"/>
  <c r="C181" i="8" s="1"/>
  <c r="B140" i="8"/>
  <c r="B181" i="8" s="1"/>
  <c r="I139" i="8"/>
  <c r="I180" i="8" s="1"/>
  <c r="H139" i="8"/>
  <c r="H180" i="8" s="1"/>
  <c r="G139" i="8"/>
  <c r="G180" i="8" s="1"/>
  <c r="F139" i="8"/>
  <c r="F180" i="8" s="1"/>
  <c r="E139" i="8"/>
  <c r="E180" i="8" s="1"/>
  <c r="D139" i="8"/>
  <c r="D180" i="8" s="1"/>
  <c r="C139" i="8"/>
  <c r="C180" i="8" s="1"/>
  <c r="B139" i="8"/>
  <c r="B180" i="8" s="1"/>
  <c r="I138" i="8"/>
  <c r="I179" i="8" s="1"/>
  <c r="H138" i="8"/>
  <c r="H179" i="8" s="1"/>
  <c r="G138" i="8"/>
  <c r="G179" i="8" s="1"/>
  <c r="F138" i="8"/>
  <c r="F179" i="8" s="1"/>
  <c r="E138" i="8"/>
  <c r="E179" i="8" s="1"/>
  <c r="D138" i="8"/>
  <c r="D179" i="8" s="1"/>
  <c r="C138" i="8"/>
  <c r="C179" i="8" s="1"/>
  <c r="B138" i="8"/>
  <c r="B179" i="8" s="1"/>
  <c r="I137" i="8"/>
  <c r="I178" i="8" s="1"/>
  <c r="H137" i="8"/>
  <c r="H178" i="8" s="1"/>
  <c r="G137" i="8"/>
  <c r="G178" i="8" s="1"/>
  <c r="F137" i="8"/>
  <c r="F178" i="8" s="1"/>
  <c r="E137" i="8"/>
  <c r="E178" i="8" s="1"/>
  <c r="D137" i="8"/>
  <c r="D178" i="8" s="1"/>
  <c r="C137" i="8"/>
  <c r="C178" i="8" s="1"/>
  <c r="B137" i="8"/>
  <c r="B178" i="8" s="1"/>
  <c r="I136" i="8"/>
  <c r="I177" i="8" s="1"/>
  <c r="H136" i="8"/>
  <c r="H177" i="8" s="1"/>
  <c r="G136" i="8"/>
  <c r="G177" i="8" s="1"/>
  <c r="F136" i="8"/>
  <c r="F177" i="8" s="1"/>
  <c r="E136" i="8"/>
  <c r="E177" i="8" s="1"/>
  <c r="D136" i="8"/>
  <c r="D177" i="8" s="1"/>
  <c r="C136" i="8"/>
  <c r="C177" i="8" s="1"/>
  <c r="B136" i="8"/>
  <c r="B177" i="8" s="1"/>
  <c r="I135" i="8"/>
  <c r="I176" i="8" s="1"/>
  <c r="H135" i="8"/>
  <c r="H176" i="8" s="1"/>
  <c r="G135" i="8"/>
  <c r="G176" i="8" s="1"/>
  <c r="F135" i="8"/>
  <c r="F176" i="8" s="1"/>
  <c r="E135" i="8"/>
  <c r="E176" i="8" s="1"/>
  <c r="D135" i="8"/>
  <c r="D176" i="8" s="1"/>
  <c r="C135" i="8"/>
  <c r="C176" i="8" s="1"/>
  <c r="B135" i="8"/>
  <c r="B176" i="8" s="1"/>
  <c r="I134" i="8"/>
  <c r="I175" i="8" s="1"/>
  <c r="H134" i="8"/>
  <c r="H175" i="8" s="1"/>
  <c r="G134" i="8"/>
  <c r="G175" i="8" s="1"/>
  <c r="F134" i="8"/>
  <c r="F175" i="8" s="1"/>
  <c r="E134" i="8"/>
  <c r="E175" i="8" s="1"/>
  <c r="D134" i="8"/>
  <c r="D175" i="8" s="1"/>
  <c r="C134" i="8"/>
  <c r="C175" i="8" s="1"/>
  <c r="B134" i="8"/>
  <c r="B175" i="8" s="1"/>
  <c r="I132" i="8"/>
  <c r="I173" i="8" s="1"/>
  <c r="H132" i="8"/>
  <c r="H173" i="8" s="1"/>
  <c r="G132" i="8"/>
  <c r="G173" i="8" s="1"/>
  <c r="F132" i="8"/>
  <c r="F173" i="8" s="1"/>
  <c r="E132" i="8"/>
  <c r="E173" i="8" s="1"/>
  <c r="D132" i="8"/>
  <c r="D173" i="8" s="1"/>
  <c r="C132" i="8"/>
  <c r="C173" i="8" s="1"/>
  <c r="B132" i="8"/>
  <c r="B173" i="8" s="1"/>
  <c r="I131" i="8"/>
  <c r="I172" i="8" s="1"/>
  <c r="H131" i="8"/>
  <c r="H172" i="8" s="1"/>
  <c r="G131" i="8"/>
  <c r="G172" i="8" s="1"/>
  <c r="F131" i="8"/>
  <c r="F172" i="8" s="1"/>
  <c r="E131" i="8"/>
  <c r="E172" i="8" s="1"/>
  <c r="D131" i="8"/>
  <c r="D172" i="8" s="1"/>
  <c r="C131" i="8"/>
  <c r="C172" i="8" s="1"/>
  <c r="B131" i="8"/>
  <c r="B172" i="8" s="1"/>
  <c r="I130" i="8"/>
  <c r="I171" i="8" s="1"/>
  <c r="H130" i="8"/>
  <c r="H171" i="8" s="1"/>
  <c r="G130" i="8"/>
  <c r="G171" i="8" s="1"/>
  <c r="F130" i="8"/>
  <c r="F171" i="8" s="1"/>
  <c r="E130" i="8"/>
  <c r="E171" i="8" s="1"/>
  <c r="D130" i="8"/>
  <c r="D171" i="8" s="1"/>
  <c r="C130" i="8"/>
  <c r="C171" i="8" s="1"/>
  <c r="B130" i="8"/>
  <c r="B171" i="8" s="1"/>
  <c r="I129" i="8"/>
  <c r="I170" i="8" s="1"/>
  <c r="H129" i="8"/>
  <c r="H170" i="8" s="1"/>
  <c r="G129" i="8"/>
  <c r="G170" i="8" s="1"/>
  <c r="F129" i="8"/>
  <c r="F170" i="8" s="1"/>
  <c r="E129" i="8"/>
  <c r="E170" i="8" s="1"/>
  <c r="D129" i="8"/>
  <c r="D170" i="8" s="1"/>
  <c r="C129" i="8"/>
  <c r="C170" i="8" s="1"/>
  <c r="B129" i="8"/>
  <c r="B170" i="8" s="1"/>
  <c r="I128" i="8"/>
  <c r="I169" i="8" s="1"/>
  <c r="I210" i="8" s="1"/>
  <c r="H128" i="8"/>
  <c r="H169" i="8" s="1"/>
  <c r="H210" i="8" s="1"/>
  <c r="G128" i="8"/>
  <c r="G169" i="8" s="1"/>
  <c r="G210" i="8" s="1"/>
  <c r="F128" i="8"/>
  <c r="F169" i="8" s="1"/>
  <c r="F210" i="8" s="1"/>
  <c r="E128" i="8"/>
  <c r="E169" i="8" s="1"/>
  <c r="E210" i="8" s="1"/>
  <c r="D128" i="8"/>
  <c r="D169" i="8" s="1"/>
  <c r="D210" i="8" s="1"/>
  <c r="C128" i="8"/>
  <c r="C169" i="8" s="1"/>
  <c r="C210" i="8" s="1"/>
  <c r="B128" i="8"/>
  <c r="B169" i="8" s="1"/>
  <c r="B210" i="8" s="1"/>
  <c r="I127" i="8"/>
  <c r="I168" i="8" s="1"/>
  <c r="H127" i="8"/>
  <c r="H168" i="8" s="1"/>
  <c r="G127" i="8"/>
  <c r="G168" i="8" s="1"/>
  <c r="F127" i="8"/>
  <c r="F168" i="8" s="1"/>
  <c r="E127" i="8"/>
  <c r="E168" i="8" s="1"/>
  <c r="D127" i="8"/>
  <c r="D168" i="8" s="1"/>
  <c r="C127" i="8"/>
  <c r="C168" i="8" s="1"/>
  <c r="B127" i="8"/>
  <c r="B168" i="8" s="1"/>
  <c r="I126" i="8"/>
  <c r="I167" i="8" s="1"/>
  <c r="H126" i="8"/>
  <c r="H167" i="8" s="1"/>
  <c r="G126" i="8"/>
  <c r="G167" i="8" s="1"/>
  <c r="F126" i="8"/>
  <c r="F167" i="8" s="1"/>
  <c r="E126" i="8"/>
  <c r="E167" i="8" s="1"/>
  <c r="D126" i="8"/>
  <c r="D167" i="8" s="1"/>
  <c r="C126" i="8"/>
  <c r="C167" i="8" s="1"/>
  <c r="B126" i="8"/>
  <c r="B167" i="8" s="1"/>
  <c r="D44" i="1"/>
  <c r="D6" i="1"/>
  <c r="D13" i="7" s="1"/>
  <c r="D7" i="1"/>
  <c r="D15" i="7" s="1"/>
  <c r="D18" i="1"/>
  <c r="D24" i="1"/>
  <c r="D20" i="7" s="1"/>
  <c r="D37" i="1"/>
  <c r="D23" i="7" s="1"/>
  <c r="D28" i="7"/>
  <c r="D13" i="1"/>
  <c r="D25" i="2" s="1"/>
  <c r="D19" i="1"/>
  <c r="D27" i="2" s="1"/>
  <c r="D14" i="1"/>
  <c r="D20" i="1"/>
  <c r="C22" i="2"/>
  <c r="C73" i="8"/>
  <c r="C50" i="8"/>
  <c r="C58" i="8"/>
  <c r="C66" i="8"/>
  <c r="C52" i="8"/>
  <c r="C60" i="8"/>
  <c r="C69" i="8"/>
  <c r="C61" i="8"/>
  <c r="C53" i="8"/>
  <c r="C46" i="8"/>
  <c r="C29" i="2"/>
  <c r="C70" i="8"/>
  <c r="C47" i="8"/>
  <c r="C55" i="8"/>
  <c r="C63" i="8"/>
  <c r="E29" i="8"/>
  <c r="E22" i="8"/>
  <c r="H9" i="5"/>
  <c r="G30" i="8" s="1"/>
  <c r="C71" i="8"/>
  <c r="C64" i="8"/>
  <c r="C56" i="8"/>
  <c r="C48" i="8"/>
  <c r="E11" i="8"/>
  <c r="C25" i="4"/>
  <c r="C24" i="4"/>
  <c r="C23" i="4"/>
  <c r="C22" i="4"/>
  <c r="C21" i="4"/>
  <c r="C20" i="4"/>
  <c r="C19" i="4"/>
  <c r="C18" i="4"/>
  <c r="C17" i="4"/>
  <c r="C16" i="4"/>
  <c r="F15" i="9"/>
  <c r="I28" i="8"/>
  <c r="I21" i="8"/>
  <c r="I13" i="8"/>
  <c r="I5" i="8"/>
  <c r="C20" i="11"/>
  <c r="C19" i="11"/>
  <c r="H9" i="11"/>
  <c r="D9" i="11"/>
  <c r="D8" i="11"/>
  <c r="D10" i="11"/>
  <c r="D11" i="11"/>
  <c r="D7" i="11"/>
  <c r="D6" i="11"/>
  <c r="H5" i="11"/>
  <c r="D5" i="11"/>
  <c r="H4" i="11"/>
  <c r="D4" i="11"/>
  <c r="H3" i="11"/>
  <c r="D3" i="11"/>
  <c r="H2" i="11"/>
  <c r="C17" i="11" s="1"/>
  <c r="D2" i="11"/>
  <c r="C86" i="1"/>
  <c r="E91" i="1"/>
  <c r="C91" i="1"/>
  <c r="E86" i="1"/>
  <c r="C73" i="1"/>
  <c r="C72" i="1"/>
  <c r="C71" i="1"/>
  <c r="F58" i="9"/>
  <c r="F60" i="9"/>
  <c r="D30" i="9"/>
  <c r="C57" i="9"/>
  <c r="C53" i="9"/>
  <c r="C58" i="9" s="1"/>
  <c r="D8" i="9"/>
  <c r="F19" i="9"/>
  <c r="D17" i="9"/>
  <c r="H7" i="7"/>
  <c r="D36" i="8" s="1"/>
  <c r="D7" i="7"/>
  <c r="D12" i="6"/>
  <c r="D8" i="4"/>
  <c r="D12" i="5"/>
  <c r="D12" i="3"/>
  <c r="D8" i="7"/>
  <c r="D12" i="2"/>
  <c r="G44" i="10"/>
  <c r="D5" i="7"/>
  <c r="D27" i="9"/>
  <c r="D34" i="9"/>
  <c r="E34" i="9"/>
  <c r="C42" i="9"/>
  <c r="D21" i="1"/>
  <c r="D25" i="4" s="1"/>
  <c r="D22" i="1"/>
  <c r="D25" i="5" s="1"/>
  <c r="D18" i="7"/>
  <c r="D3" i="1"/>
  <c r="D17" i="4" s="1"/>
  <c r="D11" i="1"/>
  <c r="D21" i="4" s="1"/>
  <c r="D17" i="1"/>
  <c r="D23" i="6" s="1"/>
  <c r="D16" i="1"/>
  <c r="D23" i="5" s="1"/>
  <c r="D15" i="1"/>
  <c r="D23" i="4" s="1"/>
  <c r="D13" i="6"/>
  <c r="D11" i="6"/>
  <c r="D10" i="6"/>
  <c r="H9" i="6"/>
  <c r="H30" i="8" s="1"/>
  <c r="D9" i="6"/>
  <c r="H8" i="6"/>
  <c r="D8" i="6"/>
  <c r="H7" i="6"/>
  <c r="H23" i="8" s="1"/>
  <c r="D7" i="6"/>
  <c r="H6" i="6"/>
  <c r="D6" i="6"/>
  <c r="H5" i="6"/>
  <c r="H15" i="8" s="1"/>
  <c r="D5" i="6"/>
  <c r="H4" i="6"/>
  <c r="D4" i="6"/>
  <c r="H3" i="6"/>
  <c r="D3" i="6"/>
  <c r="H2" i="6"/>
  <c r="D2" i="6"/>
  <c r="D9" i="7"/>
  <c r="D6" i="7"/>
  <c r="H4" i="7"/>
  <c r="D20" i="8" s="1"/>
  <c r="D4" i="7"/>
  <c r="H3" i="7"/>
  <c r="D12" i="8" s="1"/>
  <c r="D3" i="7"/>
  <c r="H2" i="7"/>
  <c r="D4" i="8" s="1"/>
  <c r="D2" i="7"/>
  <c r="D8" i="1"/>
  <c r="D12" i="1" s="1"/>
  <c r="D5" i="1"/>
  <c r="D4" i="1" s="1"/>
  <c r="D18" i="6" s="1"/>
  <c r="D13" i="5"/>
  <c r="D11" i="5"/>
  <c r="D10" i="5"/>
  <c r="D9" i="5"/>
  <c r="H8" i="5"/>
  <c r="D8" i="5"/>
  <c r="H7" i="5"/>
  <c r="G23" i="8" s="1"/>
  <c r="D7" i="5"/>
  <c r="H6" i="5"/>
  <c r="D6" i="5"/>
  <c r="H5" i="5"/>
  <c r="G15" i="8" s="1"/>
  <c r="D5" i="5"/>
  <c r="H4" i="5"/>
  <c r="D4" i="5"/>
  <c r="H3" i="5"/>
  <c r="G7" i="8" s="1"/>
  <c r="D3" i="5"/>
  <c r="H2" i="5"/>
  <c r="D2" i="5"/>
  <c r="D5" i="4"/>
  <c r="D4" i="4"/>
  <c r="H5" i="4"/>
  <c r="D9" i="4"/>
  <c r="D6" i="4"/>
  <c r="H4" i="4"/>
  <c r="F24" i="8" s="1"/>
  <c r="H3" i="4"/>
  <c r="F16" i="8" s="1"/>
  <c r="D3" i="4"/>
  <c r="H2" i="4"/>
  <c r="F8" i="8" s="1"/>
  <c r="D2" i="4"/>
  <c r="D39" i="1"/>
  <c r="D35" i="1"/>
  <c r="D28" i="5" s="1"/>
  <c r="D34" i="1"/>
  <c r="D28" i="4" s="1"/>
  <c r="D33" i="1"/>
  <c r="D33" i="3" s="1"/>
  <c r="D13" i="3"/>
  <c r="D11" i="3"/>
  <c r="D10" i="3"/>
  <c r="H9" i="3"/>
  <c r="D9" i="3"/>
  <c r="H8" i="3"/>
  <c r="E27" i="8" s="1"/>
  <c r="D8" i="3"/>
  <c r="H7" i="3"/>
  <c r="D7" i="3"/>
  <c r="H6" i="3"/>
  <c r="E19" i="8" s="1"/>
  <c r="D6" i="3"/>
  <c r="H5" i="3"/>
  <c r="E14" i="8" s="1"/>
  <c r="D5" i="3"/>
  <c r="H4" i="3"/>
  <c r="D4" i="3"/>
  <c r="H3" i="3"/>
  <c r="E6" i="8" s="1"/>
  <c r="D3" i="3"/>
  <c r="H2" i="3"/>
  <c r="E3" i="8" s="1"/>
  <c r="D2" i="3"/>
  <c r="D32" i="1"/>
  <c r="D32" i="2" s="1"/>
  <c r="D10" i="1"/>
  <c r="D23" i="2" s="1"/>
  <c r="D2" i="1"/>
  <c r="D18" i="2" s="1"/>
  <c r="E22" i="2" s="1"/>
  <c r="D7" i="2"/>
  <c r="H9" i="2"/>
  <c r="C32" i="8" s="1"/>
  <c r="H8" i="2"/>
  <c r="C27" i="8" s="1"/>
  <c r="H7" i="2"/>
  <c r="C25" i="8" s="1"/>
  <c r="H6" i="2"/>
  <c r="C19" i="8" s="1"/>
  <c r="H5" i="2"/>
  <c r="C17" i="8" s="1"/>
  <c r="H4" i="2"/>
  <c r="H3" i="2"/>
  <c r="C9" i="8" s="1"/>
  <c r="D13" i="2"/>
  <c r="D11" i="2"/>
  <c r="D10" i="2"/>
  <c r="D9" i="2"/>
  <c r="D8" i="2"/>
  <c r="D6" i="2"/>
  <c r="D5" i="2"/>
  <c r="D4" i="2"/>
  <c r="D3" i="2"/>
  <c r="H2" i="2"/>
  <c r="D2" i="2"/>
  <c r="D23" i="12" l="1"/>
  <c r="H74" i="1"/>
  <c r="H73" i="1"/>
  <c r="F89" i="1" s="1"/>
  <c r="H72" i="1"/>
  <c r="H71" i="1"/>
  <c r="D75" i="1"/>
  <c r="E21" i="6"/>
  <c r="E22" i="6"/>
  <c r="E19" i="6"/>
  <c r="E24" i="6"/>
  <c r="E20" i="6"/>
  <c r="E17" i="11"/>
  <c r="E19" i="11"/>
  <c r="E18" i="11"/>
  <c r="F75" i="1"/>
  <c r="I221" i="8"/>
  <c r="J221" i="8" s="1"/>
  <c r="H221" i="8"/>
  <c r="G221" i="8"/>
  <c r="F221" i="8"/>
  <c r="E221" i="8"/>
  <c r="D221" i="8"/>
  <c r="C221" i="8"/>
  <c r="E213" i="8"/>
  <c r="D213" i="8"/>
  <c r="C213" i="8"/>
  <c r="B213" i="8"/>
  <c r="I212" i="8"/>
  <c r="H212" i="8"/>
  <c r="G212" i="8"/>
  <c r="F212" i="8"/>
  <c r="E212" i="8"/>
  <c r="D212" i="8"/>
  <c r="C212" i="8"/>
  <c r="B212" i="8"/>
  <c r="I207" i="8"/>
  <c r="I209" i="8"/>
  <c r="I208" i="8"/>
  <c r="H207" i="8"/>
  <c r="H209" i="8"/>
  <c r="H208" i="8"/>
  <c r="G207" i="8"/>
  <c r="G209" i="8"/>
  <c r="G208" i="8"/>
  <c r="F207" i="8"/>
  <c r="F209" i="8"/>
  <c r="F208" i="8"/>
  <c r="E207" i="8"/>
  <c r="E209" i="8"/>
  <c r="E208" i="8"/>
  <c r="D207" i="8"/>
  <c r="D209" i="8"/>
  <c r="D208" i="8"/>
  <c r="C207" i="8"/>
  <c r="C209" i="8"/>
  <c r="C208" i="8"/>
  <c r="B207" i="8"/>
  <c r="B209" i="8"/>
  <c r="B208" i="8"/>
  <c r="H19" i="9"/>
  <c r="H21" i="9"/>
  <c r="D39" i="10" s="1"/>
  <c r="H38" i="9"/>
  <c r="H16" i="9"/>
  <c r="H18" i="9"/>
  <c r="D44" i="10"/>
  <c r="D45" i="10"/>
  <c r="H36" i="9"/>
  <c r="B220" i="8"/>
  <c r="B221" i="8"/>
  <c r="I211" i="8"/>
  <c r="I218" i="8"/>
  <c r="J218" i="8" s="1"/>
  <c r="I220" i="8"/>
  <c r="J220" i="8" s="1"/>
  <c r="I219" i="8"/>
  <c r="J219" i="8" s="1"/>
  <c r="H219" i="8"/>
  <c r="H220" i="8"/>
  <c r="H218" i="8"/>
  <c r="G220" i="8"/>
  <c r="F220" i="8"/>
  <c r="E220" i="8"/>
  <c r="D220" i="8"/>
  <c r="C220" i="8"/>
  <c r="I215" i="8"/>
  <c r="I217" i="8"/>
  <c r="I216" i="8"/>
  <c r="H216" i="8"/>
  <c r="H217" i="8"/>
  <c r="H215" i="8"/>
  <c r="G215" i="8"/>
  <c r="G216" i="8"/>
  <c r="G217" i="8"/>
  <c r="F215" i="8"/>
  <c r="F217" i="8"/>
  <c r="F216" i="8"/>
  <c r="E215" i="8"/>
  <c r="E217" i="8"/>
  <c r="E216" i="8"/>
  <c r="D215" i="8"/>
  <c r="D217" i="8"/>
  <c r="D216" i="8"/>
  <c r="C215" i="8"/>
  <c r="C217" i="8"/>
  <c r="C216" i="8"/>
  <c r="B216" i="8"/>
  <c r="B215" i="8"/>
  <c r="P201" i="8"/>
  <c r="O201" i="8"/>
  <c r="N201" i="8"/>
  <c r="M201" i="8"/>
  <c r="L201" i="8"/>
  <c r="K201" i="8"/>
  <c r="I222" i="8"/>
  <c r="J222" i="8" s="1"/>
  <c r="G222" i="8"/>
  <c r="F222" i="8"/>
  <c r="E222" i="8"/>
  <c r="D222" i="8"/>
  <c r="C222" i="8"/>
  <c r="B222" i="8"/>
  <c r="G211" i="8"/>
  <c r="E211" i="8"/>
  <c r="F211" i="8"/>
  <c r="H211" i="8"/>
  <c r="H222" i="8"/>
  <c r="D211" i="8"/>
  <c r="C211" i="8"/>
  <c r="B211" i="8"/>
  <c r="G219" i="8"/>
  <c r="G218" i="8"/>
  <c r="F218" i="8"/>
  <c r="F219" i="8"/>
  <c r="E219" i="8"/>
  <c r="E218" i="8"/>
  <c r="D218" i="8"/>
  <c r="D219" i="8"/>
  <c r="C219" i="8"/>
  <c r="C218" i="8"/>
  <c r="B218" i="8"/>
  <c r="B219" i="8"/>
  <c r="B217" i="8"/>
  <c r="E15" i="12"/>
  <c r="F15" i="12" s="1"/>
  <c r="E20" i="12"/>
  <c r="F20" i="12" s="1"/>
  <c r="E19" i="12"/>
  <c r="F19" i="12" s="1"/>
  <c r="E18" i="12"/>
  <c r="F18" i="12" s="1"/>
  <c r="E17" i="12"/>
  <c r="F17" i="12" s="1"/>
  <c r="E22" i="12"/>
  <c r="F22" i="12" s="1"/>
  <c r="E21" i="12"/>
  <c r="F21" i="12" s="1"/>
  <c r="C19" i="12"/>
  <c r="C18" i="12"/>
  <c r="F13" i="7"/>
  <c r="D25" i="3"/>
  <c r="D28" i="3"/>
  <c r="E27" i="3" s="1"/>
  <c r="C23" i="2"/>
  <c r="C11" i="8"/>
  <c r="C18" i="2"/>
  <c r="C3" i="8"/>
  <c r="C28" i="3"/>
  <c r="F31" i="8"/>
  <c r="C26" i="4"/>
  <c r="D20" i="5"/>
  <c r="F15" i="7"/>
  <c r="F20" i="7"/>
  <c r="F18" i="7"/>
  <c r="D88" i="1"/>
  <c r="D89" i="1"/>
  <c r="D90" i="1"/>
  <c r="D87" i="1"/>
  <c r="E26" i="4"/>
  <c r="E27" i="4"/>
  <c r="E24" i="4"/>
  <c r="E26" i="7"/>
  <c r="F26" i="7" s="1"/>
  <c r="F23" i="7"/>
  <c r="I34" i="8"/>
  <c r="C22" i="11"/>
  <c r="C59" i="9"/>
  <c r="D46" i="10"/>
  <c r="F61" i="9"/>
  <c r="F62" i="9" s="1"/>
  <c r="C60" i="9"/>
  <c r="E26" i="9"/>
  <c r="D41" i="10" s="1"/>
  <c r="F63" i="9"/>
  <c r="E37" i="9" s="1"/>
  <c r="H37" i="9" s="1"/>
  <c r="D47" i="10" s="1"/>
  <c r="C21" i="11"/>
  <c r="C18" i="11"/>
  <c r="C75" i="1"/>
  <c r="E27" i="9"/>
  <c r="C61" i="9" s="1"/>
  <c r="C20" i="7"/>
  <c r="C19" i="7"/>
  <c r="C18" i="7"/>
  <c r="C16" i="7"/>
  <c r="C17" i="7"/>
  <c r="C14" i="7"/>
  <c r="C13" i="7"/>
  <c r="C12" i="7"/>
  <c r="E27" i="6"/>
  <c r="E26" i="6"/>
  <c r="C18" i="6"/>
  <c r="H3" i="8"/>
  <c r="C17" i="6"/>
  <c r="H34" i="8"/>
  <c r="H27" i="8"/>
  <c r="C26" i="6"/>
  <c r="C25" i="6"/>
  <c r="H19" i="8"/>
  <c r="C24" i="6"/>
  <c r="H11" i="8"/>
  <c r="C21" i="6"/>
  <c r="C20" i="6"/>
  <c r="C22" i="6"/>
  <c r="H7" i="8"/>
  <c r="C19" i="6"/>
  <c r="E27" i="5"/>
  <c r="E26" i="5"/>
  <c r="E24" i="5"/>
  <c r="G34" i="8"/>
  <c r="C26" i="5"/>
  <c r="G27" i="8"/>
  <c r="G19" i="8"/>
  <c r="C25" i="5"/>
  <c r="C24" i="5"/>
  <c r="C21" i="5"/>
  <c r="G11" i="8"/>
  <c r="C20" i="5"/>
  <c r="C23" i="5"/>
  <c r="C22" i="5"/>
  <c r="G3" i="8"/>
  <c r="C19" i="5"/>
  <c r="F34" i="8"/>
  <c r="C30" i="3"/>
  <c r="C29" i="3"/>
  <c r="C27" i="3"/>
  <c r="C26" i="3"/>
  <c r="C25" i="3"/>
  <c r="C24" i="3"/>
  <c r="C23" i="3"/>
  <c r="C22" i="3"/>
  <c r="C18" i="3"/>
  <c r="C21" i="3"/>
  <c r="C20" i="3"/>
  <c r="C19" i="3"/>
  <c r="C17" i="3"/>
  <c r="E22" i="7"/>
  <c r="F22" i="7" s="1"/>
  <c r="E25" i="7"/>
  <c r="F25" i="7" s="1"/>
  <c r="E27" i="7"/>
  <c r="F27" i="7" s="1"/>
  <c r="E24" i="7"/>
  <c r="F24" i="7" s="1"/>
  <c r="E21" i="7"/>
  <c r="F21" i="7" s="1"/>
  <c r="E19" i="7"/>
  <c r="F19" i="7" s="1"/>
  <c r="E17" i="7"/>
  <c r="F17" i="7" s="1"/>
  <c r="E16" i="7"/>
  <c r="F16" i="7" s="1"/>
  <c r="E14" i="7"/>
  <c r="F14" i="7" s="1"/>
  <c r="E29" i="9"/>
  <c r="H29" i="9" s="1"/>
  <c r="E24" i="9"/>
  <c r="H25" i="9"/>
  <c r="D38" i="10" s="1"/>
  <c r="E21" i="9"/>
  <c r="E31" i="2"/>
  <c r="E29" i="2"/>
  <c r="E26" i="2"/>
  <c r="E30" i="2"/>
  <c r="E28" i="2"/>
  <c r="C30" i="2"/>
  <c r="C28" i="2"/>
  <c r="C27" i="2"/>
  <c r="C26" i="2"/>
  <c r="C25" i="2"/>
  <c r="E22" i="4"/>
  <c r="E24" i="2"/>
  <c r="D18" i="5"/>
  <c r="D37" i="2"/>
  <c r="F22" i="2" s="1"/>
  <c r="D43" i="1"/>
  <c r="D33" i="6" s="1"/>
  <c r="F23" i="6" s="1"/>
  <c r="E17" i="4"/>
  <c r="E21" i="4"/>
  <c r="E20" i="4"/>
  <c r="E19" i="4"/>
  <c r="C18" i="5"/>
  <c r="C17" i="5"/>
  <c r="E18" i="4"/>
  <c r="D41" i="1"/>
  <c r="D32" i="4" s="1"/>
  <c r="E30" i="4" s="1"/>
  <c r="F30" i="4" s="1"/>
  <c r="D42" i="1"/>
  <c r="D33" i="5" s="1"/>
  <c r="D40" i="1"/>
  <c r="D39" i="3" s="1"/>
  <c r="C24" i="2"/>
  <c r="C21" i="2"/>
  <c r="C20" i="2"/>
  <c r="C19" i="2"/>
  <c r="C17" i="2"/>
  <c r="E20" i="2"/>
  <c r="F20" i="2" s="1"/>
  <c r="E21" i="2"/>
  <c r="F21" i="2" s="1"/>
  <c r="E19" i="2"/>
  <c r="F19" i="2" s="1"/>
  <c r="E74" i="1" l="1"/>
  <c r="E73" i="1"/>
  <c r="E71" i="1"/>
  <c r="E72" i="1"/>
  <c r="F21" i="6"/>
  <c r="D45" i="1"/>
  <c r="D29" i="11" s="1"/>
  <c r="F20" i="11" s="1"/>
  <c r="E24" i="3"/>
  <c r="F24" i="3" s="1"/>
  <c r="F88" i="1"/>
  <c r="D38" i="1"/>
  <c r="D23" i="11" s="1"/>
  <c r="F87" i="1"/>
  <c r="F90" i="1"/>
  <c r="E20" i="3"/>
  <c r="F20" i="3" s="1"/>
  <c r="E17" i="3"/>
  <c r="F17" i="3" s="1"/>
  <c r="E22" i="3"/>
  <c r="F22" i="3" s="1"/>
  <c r="E19" i="3"/>
  <c r="F19" i="3" s="1"/>
  <c r="E23" i="3"/>
  <c r="F23" i="3" s="1"/>
  <c r="E21" i="3"/>
  <c r="F21" i="3" s="1"/>
  <c r="E18" i="3"/>
  <c r="F18" i="3" s="1"/>
  <c r="E26" i="3"/>
  <c r="F26" i="3" s="1"/>
  <c r="F22" i="6"/>
  <c r="F25" i="3"/>
  <c r="E19" i="5"/>
  <c r="F19" i="5" s="1"/>
  <c r="E32" i="3"/>
  <c r="F32" i="3" s="1"/>
  <c r="E31" i="3"/>
  <c r="F31" i="3" s="1"/>
  <c r="E30" i="3"/>
  <c r="F30" i="3" s="1"/>
  <c r="E29" i="3"/>
  <c r="F29" i="3" s="1"/>
  <c r="F19" i="6"/>
  <c r="F24" i="6"/>
  <c r="E21" i="5"/>
  <c r="F21" i="5" s="1"/>
  <c r="E22" i="5"/>
  <c r="E41" i="10"/>
  <c r="E39" i="10"/>
  <c r="C76" i="8" s="1"/>
  <c r="E47" i="10"/>
  <c r="F31" i="2"/>
  <c r="F29" i="2"/>
  <c r="F26" i="2"/>
  <c r="F30" i="2"/>
  <c r="F28" i="2"/>
  <c r="F18" i="4"/>
  <c r="F26" i="4"/>
  <c r="F27" i="4"/>
  <c r="F24" i="4"/>
  <c r="F27" i="3"/>
  <c r="F27" i="6"/>
  <c r="F26" i="6"/>
  <c r="F27" i="5"/>
  <c r="F26" i="5"/>
  <c r="F24" i="5"/>
  <c r="F22" i="4"/>
  <c r="F24" i="2"/>
  <c r="F18" i="6"/>
  <c r="F17" i="4"/>
  <c r="F21" i="4"/>
  <c r="F20" i="4"/>
  <c r="F19" i="4"/>
  <c r="F28" i="4"/>
  <c r="F25" i="4"/>
  <c r="F23" i="4"/>
  <c r="E36" i="2"/>
  <c r="F36" i="2" s="1"/>
  <c r="F23" i="2"/>
  <c r="F18" i="2"/>
  <c r="F32" i="2"/>
  <c r="F27" i="2"/>
  <c r="F25" i="2"/>
  <c r="F25" i="6"/>
  <c r="F28" i="6"/>
  <c r="F20" i="5"/>
  <c r="F25" i="5"/>
  <c r="F28" i="5"/>
  <c r="F23" i="5"/>
  <c r="F33" i="3"/>
  <c r="F28" i="3"/>
  <c r="C62" i="9"/>
  <c r="C63" i="9" s="1"/>
  <c r="E30" i="9" s="1"/>
  <c r="H30" i="9" s="1"/>
  <c r="E38" i="10"/>
  <c r="E45" i="10"/>
  <c r="E8" i="12" s="1"/>
  <c r="H8" i="12" s="1"/>
  <c r="J40" i="8" s="1"/>
  <c r="E42" i="10"/>
  <c r="E44" i="10"/>
  <c r="H12" i="9"/>
  <c r="D37" i="10" s="1"/>
  <c r="E37" i="10" s="1"/>
  <c r="F20" i="6"/>
  <c r="E36" i="3"/>
  <c r="F36" i="3" s="1"/>
  <c r="E34" i="3"/>
  <c r="F34" i="3" s="1"/>
  <c r="E37" i="3"/>
  <c r="F37" i="3" s="1"/>
  <c r="E38" i="3"/>
  <c r="F38" i="3" s="1"/>
  <c r="E35" i="3"/>
  <c r="F35" i="3" s="1"/>
  <c r="F17" i="9"/>
  <c r="H17" i="9" s="1"/>
  <c r="F8" i="9"/>
  <c r="H8" i="9" s="1"/>
  <c r="D34" i="10" s="1"/>
  <c r="E34" i="10" s="1"/>
  <c r="H27" i="9"/>
  <c r="D40" i="10" s="1"/>
  <c r="E40" i="10" s="1"/>
  <c r="F14" i="9"/>
  <c r="H14" i="9" s="1"/>
  <c r="H24" i="9"/>
  <c r="F20" i="9"/>
  <c r="H20" i="9" s="1"/>
  <c r="E33" i="2"/>
  <c r="F33" i="2" s="1"/>
  <c r="E35" i="2"/>
  <c r="F35" i="2" s="1"/>
  <c r="E34" i="2"/>
  <c r="F34" i="2" s="1"/>
  <c r="E32" i="6"/>
  <c r="F32" i="6" s="1"/>
  <c r="E30" i="6"/>
  <c r="F30" i="6" s="1"/>
  <c r="E31" i="6"/>
  <c r="F31" i="6" s="1"/>
  <c r="E29" i="6"/>
  <c r="F29" i="6" s="1"/>
  <c r="E29" i="4"/>
  <c r="F29" i="4" s="1"/>
  <c r="E31" i="4"/>
  <c r="F31" i="4" s="1"/>
  <c r="E30" i="5"/>
  <c r="F30" i="5" s="1"/>
  <c r="E31" i="5"/>
  <c r="F31" i="5" s="1"/>
  <c r="E32" i="5"/>
  <c r="F32" i="5" s="1"/>
  <c r="E29" i="5"/>
  <c r="F29" i="5" s="1"/>
  <c r="E22" i="11" l="1"/>
  <c r="F22" i="11" s="1"/>
  <c r="E21" i="11"/>
  <c r="E12" i="5"/>
  <c r="H12" i="5" s="1"/>
  <c r="E9" i="12"/>
  <c r="H9" i="12" s="1"/>
  <c r="J39" i="8" s="1"/>
  <c r="E26" i="11"/>
  <c r="F26" i="11" s="1"/>
  <c r="E24" i="11"/>
  <c r="F24" i="11" s="1"/>
  <c r="F18" i="11"/>
  <c r="F19" i="11"/>
  <c r="G89" i="1"/>
  <c r="G88" i="1"/>
  <c r="G87" i="1"/>
  <c r="E25" i="11"/>
  <c r="F25" i="11" s="1"/>
  <c r="F21" i="11"/>
  <c r="F23" i="11"/>
  <c r="E28" i="11"/>
  <c r="F28" i="11" s="1"/>
  <c r="F17" i="11"/>
  <c r="E27" i="11"/>
  <c r="F27" i="11" s="1"/>
  <c r="F18" i="5"/>
  <c r="F22" i="5"/>
  <c r="E13" i="5"/>
  <c r="H13" i="5" s="1"/>
  <c r="G40" i="8" s="1"/>
  <c r="E13" i="6"/>
  <c r="H13" i="6" s="1"/>
  <c r="H40" i="8" s="1"/>
  <c r="H8" i="11"/>
  <c r="H11" i="5"/>
  <c r="C29" i="5" s="1"/>
  <c r="H7" i="11"/>
  <c r="H11" i="3"/>
  <c r="H7" i="4"/>
  <c r="F35" i="8" s="1"/>
  <c r="H11" i="6"/>
  <c r="H11" i="2"/>
  <c r="H6" i="7"/>
  <c r="E9" i="4"/>
  <c r="H9" i="4" s="1"/>
  <c r="F40" i="8" s="1"/>
  <c r="E13" i="3"/>
  <c r="H13" i="3" s="1"/>
  <c r="E40" i="8" s="1"/>
  <c r="E13" i="2"/>
  <c r="H13" i="2" s="1"/>
  <c r="C40" i="8" s="1"/>
  <c r="E9" i="7"/>
  <c r="H9" i="7" s="1"/>
  <c r="C81" i="8"/>
  <c r="E10" i="11"/>
  <c r="H10" i="11" s="1"/>
  <c r="E11" i="11"/>
  <c r="H11" i="11" s="1"/>
  <c r="I39" i="8" s="1"/>
  <c r="E12" i="6"/>
  <c r="H12" i="6" s="1"/>
  <c r="E8" i="4"/>
  <c r="H8" i="4" s="1"/>
  <c r="E12" i="3"/>
  <c r="H12" i="3" s="1"/>
  <c r="H5" i="7"/>
  <c r="C75" i="8"/>
  <c r="E12" i="2"/>
  <c r="H12" i="2" s="1"/>
  <c r="C80" i="8"/>
  <c r="E8" i="7"/>
  <c r="H8" i="7" s="1"/>
  <c r="C37" i="3" l="1"/>
  <c r="C21" i="12"/>
  <c r="C23" i="12"/>
  <c r="C22" i="12"/>
  <c r="D40" i="8"/>
  <c r="C25" i="7"/>
  <c r="C39" i="3"/>
  <c r="C38" i="3"/>
  <c r="G90" i="1"/>
  <c r="C31" i="6"/>
  <c r="C30" i="6"/>
  <c r="C29" i="6"/>
  <c r="C35" i="2"/>
  <c r="C32" i="2"/>
  <c r="C33" i="2"/>
  <c r="C31" i="2"/>
  <c r="C34" i="2"/>
  <c r="C35" i="8"/>
  <c r="C29" i="11"/>
  <c r="C23" i="11"/>
  <c r="E39" i="8"/>
  <c r="C28" i="5"/>
  <c r="C30" i="5"/>
  <c r="G35" i="8"/>
  <c r="C27" i="5"/>
  <c r="C26" i="11"/>
  <c r="C25" i="11"/>
  <c r="I35" i="8"/>
  <c r="C35" i="3"/>
  <c r="E35" i="8"/>
  <c r="C33" i="3"/>
  <c r="C34" i="3"/>
  <c r="C36" i="3"/>
  <c r="C29" i="4"/>
  <c r="C27" i="4"/>
  <c r="C28" i="4"/>
  <c r="C27" i="6"/>
  <c r="C28" i="6"/>
  <c r="H35" i="8"/>
  <c r="I36" i="8"/>
  <c r="C28" i="11"/>
  <c r="C32" i="3"/>
  <c r="C24" i="7"/>
  <c r="C23" i="7"/>
  <c r="D35" i="8"/>
  <c r="C27" i="11"/>
  <c r="I40" i="8"/>
  <c r="C33" i="6"/>
  <c r="G23" i="6" s="1"/>
  <c r="H39" i="8"/>
  <c r="C32" i="6"/>
  <c r="C33" i="5"/>
  <c r="G33" i="5" s="1"/>
  <c r="I12" i="5" s="1"/>
  <c r="G39" i="8"/>
  <c r="C32" i="5"/>
  <c r="C31" i="4"/>
  <c r="F39" i="8"/>
  <c r="C32" i="4"/>
  <c r="G30" i="4" s="1"/>
  <c r="D34" i="8"/>
  <c r="C21" i="7"/>
  <c r="C22" i="7"/>
  <c r="C36" i="2"/>
  <c r="C37" i="2"/>
  <c r="G22" i="2" s="1"/>
  <c r="C39" i="8"/>
  <c r="C26" i="7"/>
  <c r="C28" i="7"/>
  <c r="D39" i="8"/>
  <c r="C27" i="7"/>
  <c r="G15" i="12" l="1"/>
  <c r="I2" i="12" s="1"/>
  <c r="G21" i="12"/>
  <c r="G23" i="12"/>
  <c r="I9" i="12" s="1"/>
  <c r="R39" i="8" s="1"/>
  <c r="Z39" i="8" s="1"/>
  <c r="V80" i="8" s="1"/>
  <c r="G17" i="12"/>
  <c r="I3" i="12" s="1"/>
  <c r="G18" i="12"/>
  <c r="I4" i="12" s="1"/>
  <c r="R26" i="8" s="1"/>
  <c r="Z26" i="8" s="1"/>
  <c r="G19" i="12"/>
  <c r="G20" i="12"/>
  <c r="I5" i="12" s="1"/>
  <c r="G22" i="12"/>
  <c r="I8" i="12" s="1"/>
  <c r="R40" i="8" s="1"/>
  <c r="Z40" i="8" s="1"/>
  <c r="V81" i="8" s="1"/>
  <c r="I4" i="2"/>
  <c r="I5" i="2"/>
  <c r="K17" i="8" s="1"/>
  <c r="S17" i="8" s="1"/>
  <c r="G24" i="11"/>
  <c r="G26" i="11"/>
  <c r="G21" i="11"/>
  <c r="I5" i="11" s="1"/>
  <c r="G17" i="11"/>
  <c r="I2" i="11" s="1"/>
  <c r="G20" i="11"/>
  <c r="G19" i="11"/>
  <c r="I4" i="11" s="1"/>
  <c r="G29" i="11"/>
  <c r="G25" i="11"/>
  <c r="G28" i="11"/>
  <c r="G27" i="11"/>
  <c r="G22" i="11"/>
  <c r="G18" i="11"/>
  <c r="I3" i="11" s="1"/>
  <c r="G23" i="11"/>
  <c r="G27" i="5"/>
  <c r="G26" i="5"/>
  <c r="G24" i="5"/>
  <c r="G22" i="5"/>
  <c r="G20" i="5"/>
  <c r="G25" i="5"/>
  <c r="G28" i="5"/>
  <c r="G23" i="5"/>
  <c r="G19" i="5"/>
  <c r="G23" i="4"/>
  <c r="G22" i="4"/>
  <c r="G17" i="4"/>
  <c r="I2" i="4" s="1"/>
  <c r="G21" i="4"/>
  <c r="G20" i="4"/>
  <c r="I3" i="4" s="1"/>
  <c r="G19" i="4"/>
  <c r="G18" i="4"/>
  <c r="G28" i="4"/>
  <c r="G29" i="4"/>
  <c r="G35" i="3"/>
  <c r="G37" i="3"/>
  <c r="G33" i="3"/>
  <c r="G36" i="3"/>
  <c r="G28" i="3"/>
  <c r="G30" i="3"/>
  <c r="G32" i="3"/>
  <c r="G29" i="3"/>
  <c r="G31" i="3"/>
  <c r="G24" i="3"/>
  <c r="G17" i="3"/>
  <c r="G23" i="3"/>
  <c r="G18" i="3"/>
  <c r="I2" i="3" s="1"/>
  <c r="G27" i="3"/>
  <c r="G19" i="3"/>
  <c r="G26" i="3"/>
  <c r="G25" i="3"/>
  <c r="G39" i="3"/>
  <c r="I12" i="3" s="1"/>
  <c r="M39" i="8" s="1"/>
  <c r="U39" i="8" s="1"/>
  <c r="G21" i="3"/>
  <c r="G20" i="3"/>
  <c r="I3" i="3" s="1"/>
  <c r="G22" i="3"/>
  <c r="G38" i="3"/>
  <c r="I13" i="3" s="1"/>
  <c r="M40" i="8" s="1"/>
  <c r="U40" i="8" s="1"/>
  <c r="G34" i="3"/>
  <c r="I11" i="3" s="1"/>
  <c r="G24" i="6"/>
  <c r="G29" i="6"/>
  <c r="G31" i="6"/>
  <c r="G30" i="6"/>
  <c r="G32" i="6"/>
  <c r="I13" i="6" s="1"/>
  <c r="P40" i="8" s="1"/>
  <c r="X40" i="8" s="1"/>
  <c r="G20" i="6"/>
  <c r="G28" i="6"/>
  <c r="G19" i="6"/>
  <c r="I3" i="6" s="1"/>
  <c r="P7" i="8" s="1"/>
  <c r="X7" i="8" s="1"/>
  <c r="G21" i="6"/>
  <c r="G25" i="6"/>
  <c r="G18" i="6"/>
  <c r="I2" i="6" s="1"/>
  <c r="G26" i="6"/>
  <c r="G27" i="6"/>
  <c r="I9" i="6" s="1"/>
  <c r="G22" i="6"/>
  <c r="G33" i="6"/>
  <c r="I12" i="6" s="1"/>
  <c r="G32" i="5"/>
  <c r="I13" i="5" s="1"/>
  <c r="G31" i="5"/>
  <c r="G18" i="5"/>
  <c r="I2" i="5" s="1"/>
  <c r="G21" i="5"/>
  <c r="G29" i="5"/>
  <c r="I11" i="5" s="1"/>
  <c r="G30" i="5"/>
  <c r="G32" i="4"/>
  <c r="I8" i="4" s="1"/>
  <c r="N39" i="8" s="1"/>
  <c r="V39" i="8" s="1"/>
  <c r="G26" i="4"/>
  <c r="I5" i="4" s="1"/>
  <c r="N31" i="8" s="1"/>
  <c r="V31" i="8" s="1"/>
  <c r="G27" i="4"/>
  <c r="I6" i="4" s="1"/>
  <c r="G25" i="4"/>
  <c r="G24" i="4"/>
  <c r="I4" i="4" s="1"/>
  <c r="N24" i="8" s="1"/>
  <c r="V24" i="8" s="1"/>
  <c r="G31" i="4"/>
  <c r="I9" i="4" s="1"/>
  <c r="G37" i="2"/>
  <c r="I12" i="2" s="1"/>
  <c r="G20" i="2"/>
  <c r="G21" i="2"/>
  <c r="G19" i="2"/>
  <c r="G31" i="2"/>
  <c r="G29" i="2"/>
  <c r="G26" i="2"/>
  <c r="G30" i="2"/>
  <c r="I9" i="2" s="1"/>
  <c r="G28" i="2"/>
  <c r="G24" i="2"/>
  <c r="G23" i="2"/>
  <c r="G32" i="2"/>
  <c r="G25" i="2"/>
  <c r="G36" i="2"/>
  <c r="I13" i="2" s="1"/>
  <c r="G18" i="2"/>
  <c r="I2" i="2" s="1"/>
  <c r="G27" i="2"/>
  <c r="G33" i="2"/>
  <c r="G35" i="2"/>
  <c r="G34" i="2"/>
  <c r="G28" i="7"/>
  <c r="I8" i="7" s="1"/>
  <c r="G13" i="7"/>
  <c r="I2" i="7" s="1"/>
  <c r="G23" i="7"/>
  <c r="G25" i="7"/>
  <c r="G21" i="7"/>
  <c r="G22" i="7"/>
  <c r="G27" i="7"/>
  <c r="G17" i="7"/>
  <c r="G14" i="7"/>
  <c r="G19" i="7"/>
  <c r="G15" i="7"/>
  <c r="G20" i="7"/>
  <c r="G18" i="7"/>
  <c r="G26" i="7"/>
  <c r="G24" i="7"/>
  <c r="I6" i="7" s="1"/>
  <c r="G16" i="7"/>
  <c r="I3" i="7" s="1"/>
  <c r="O39" i="8"/>
  <c r="W39" i="8" s="1"/>
  <c r="I9" i="7" l="1"/>
  <c r="L39" i="8"/>
  <c r="T39" i="8" s="1"/>
  <c r="I3" i="2"/>
  <c r="I7" i="7"/>
  <c r="I10" i="5"/>
  <c r="I9" i="5" s="1"/>
  <c r="I9" i="11"/>
  <c r="I8" i="11"/>
  <c r="I6" i="11"/>
  <c r="I7" i="4"/>
  <c r="I8" i="6"/>
  <c r="I5" i="7"/>
  <c r="L34" i="8" s="1"/>
  <c r="T34" i="8" s="1"/>
  <c r="N35" i="8"/>
  <c r="V35" i="8" s="1"/>
  <c r="H30" i="4"/>
  <c r="I30" i="4" s="1"/>
  <c r="H15" i="12"/>
  <c r="I15" i="12" s="1"/>
  <c r="R10" i="8"/>
  <c r="Z10" i="8" s="1"/>
  <c r="H17" i="12"/>
  <c r="I17" i="12" s="1"/>
  <c r="R18" i="8"/>
  <c r="Z18" i="8" s="1"/>
  <c r="B26" i="8"/>
  <c r="E67" i="8" s="1"/>
  <c r="V67" i="8" s="1"/>
  <c r="B108" i="8" s="1"/>
  <c r="J108" i="8" s="1"/>
  <c r="R149" i="8" s="1"/>
  <c r="R190" i="8" s="1"/>
  <c r="H20" i="12"/>
  <c r="I20" i="12" s="1"/>
  <c r="R33" i="8"/>
  <c r="Z33" i="8" s="1"/>
  <c r="I7" i="12"/>
  <c r="R37" i="8" s="1"/>
  <c r="Z37" i="8" s="1"/>
  <c r="J119" i="8" s="1"/>
  <c r="R160" i="8" s="1"/>
  <c r="R201" i="8" s="1"/>
  <c r="I6" i="12"/>
  <c r="R38" i="8" s="1"/>
  <c r="Z38" i="8" s="1"/>
  <c r="H19" i="12"/>
  <c r="I19" i="12" s="1"/>
  <c r="H18" i="12"/>
  <c r="I18" i="12" s="1"/>
  <c r="I3" i="5"/>
  <c r="B17" i="8"/>
  <c r="E58" i="8" s="1"/>
  <c r="O58" i="8" s="1"/>
  <c r="B31" i="8"/>
  <c r="E72" i="8" s="1"/>
  <c r="R72" i="8" s="1"/>
  <c r="B24" i="8"/>
  <c r="E65" i="8" s="1"/>
  <c r="R65" i="8" s="1"/>
  <c r="H37" i="2"/>
  <c r="I37" i="2" s="1"/>
  <c r="K9" i="8"/>
  <c r="S9" i="8" s="1"/>
  <c r="H22" i="2"/>
  <c r="I22" i="2" s="1"/>
  <c r="H21" i="2"/>
  <c r="I21" i="2" s="1"/>
  <c r="H23" i="2"/>
  <c r="I23" i="2" s="1"/>
  <c r="H24" i="2"/>
  <c r="I24" i="2" s="1"/>
  <c r="K11" i="8"/>
  <c r="S11" i="8" s="1"/>
  <c r="Q28" i="8"/>
  <c r="Y28" i="8" s="1"/>
  <c r="H17" i="11"/>
  <c r="I17" i="11" s="1"/>
  <c r="Q5" i="8"/>
  <c r="Y5" i="8" s="1"/>
  <c r="H19" i="11"/>
  <c r="I19" i="11" s="1"/>
  <c r="H20" i="11"/>
  <c r="I20" i="11" s="1"/>
  <c r="Q21" i="8"/>
  <c r="Y21" i="8" s="1"/>
  <c r="Q13" i="8"/>
  <c r="Y13" i="8" s="1"/>
  <c r="H18" i="11"/>
  <c r="I18" i="11" s="1"/>
  <c r="I6" i="5"/>
  <c r="I7" i="5"/>
  <c r="O23" i="8" s="1"/>
  <c r="W23" i="8" s="1"/>
  <c r="N8" i="8"/>
  <c r="V8" i="8" s="1"/>
  <c r="H18" i="4"/>
  <c r="I18" i="4" s="1"/>
  <c r="H17" i="4"/>
  <c r="I17" i="4" s="1"/>
  <c r="H21" i="4"/>
  <c r="I21" i="4" s="1"/>
  <c r="H19" i="4"/>
  <c r="I19" i="4" s="1"/>
  <c r="H22" i="4"/>
  <c r="I22" i="4" s="1"/>
  <c r="N16" i="8"/>
  <c r="V16" i="8" s="1"/>
  <c r="H20" i="4"/>
  <c r="I20" i="4" s="1"/>
  <c r="I5" i="5"/>
  <c r="O15" i="8" s="1"/>
  <c r="W15" i="8" s="1"/>
  <c r="I4" i="5"/>
  <c r="I8" i="2"/>
  <c r="I10" i="2" s="1"/>
  <c r="K32" i="8"/>
  <c r="S32" i="8" s="1"/>
  <c r="O40" i="8"/>
  <c r="W40" i="8" s="1"/>
  <c r="H33" i="5"/>
  <c r="I33" i="5" s="1"/>
  <c r="H32" i="5"/>
  <c r="I32" i="5" s="1"/>
  <c r="O3" i="8"/>
  <c r="W3" i="8" s="1"/>
  <c r="H18" i="5"/>
  <c r="I18" i="5" s="1"/>
  <c r="I5" i="3"/>
  <c r="M14" i="8" s="1"/>
  <c r="U14" i="8" s="1"/>
  <c r="I4" i="3"/>
  <c r="I7" i="3"/>
  <c r="M22" i="8" s="1"/>
  <c r="U22" i="8" s="1"/>
  <c r="I6" i="3"/>
  <c r="I6" i="6"/>
  <c r="I7" i="6"/>
  <c r="P23" i="8" s="1"/>
  <c r="X23" i="8" s="1"/>
  <c r="I4" i="6"/>
  <c r="I5" i="6"/>
  <c r="P15" i="8" s="1"/>
  <c r="X15" i="8" s="1"/>
  <c r="H18" i="6"/>
  <c r="I18" i="6" s="1"/>
  <c r="H19" i="6"/>
  <c r="I19" i="6" s="1"/>
  <c r="P3" i="8"/>
  <c r="X3" i="8" s="1"/>
  <c r="H33" i="6"/>
  <c r="I33" i="6" s="1"/>
  <c r="P39" i="8"/>
  <c r="X39" i="8" s="1"/>
  <c r="H32" i="6"/>
  <c r="I32" i="6" s="1"/>
  <c r="I6" i="2"/>
  <c r="I7" i="2"/>
  <c r="K25" i="8" s="1"/>
  <c r="S25" i="8" s="1"/>
  <c r="H26" i="4"/>
  <c r="I26" i="4" s="1"/>
  <c r="N34" i="8"/>
  <c r="V34" i="8" s="1"/>
  <c r="H23" i="4"/>
  <c r="I23" i="4" s="1"/>
  <c r="H24" i="4"/>
  <c r="I24" i="4" s="1"/>
  <c r="H25" i="4"/>
  <c r="I25" i="4" s="1"/>
  <c r="N40" i="8"/>
  <c r="V40" i="8" s="1"/>
  <c r="H32" i="4"/>
  <c r="I32" i="4" s="1"/>
  <c r="H31" i="4"/>
  <c r="I31" i="4" s="1"/>
  <c r="H12" i="7"/>
  <c r="H13" i="7"/>
  <c r="I13" i="7" s="1"/>
  <c r="H14" i="7"/>
  <c r="I14" i="7" s="1"/>
  <c r="L4" i="8"/>
  <c r="T4" i="8" s="1"/>
  <c r="K39" i="8"/>
  <c r="S39" i="8" s="1"/>
  <c r="H36" i="2"/>
  <c r="I36" i="2" s="1"/>
  <c r="K40" i="8"/>
  <c r="S40" i="8" s="1"/>
  <c r="L12" i="8"/>
  <c r="T12" i="8" s="1"/>
  <c r="I4" i="7"/>
  <c r="L20" i="8" s="1"/>
  <c r="T20" i="8" s="1"/>
  <c r="H31" i="5" l="1"/>
  <c r="I8" i="5"/>
  <c r="I10" i="11"/>
  <c r="I11" i="11" s="1"/>
  <c r="L36" i="8"/>
  <c r="T36" i="8" s="1"/>
  <c r="H26" i="7"/>
  <c r="I26" i="7" s="1"/>
  <c r="H27" i="4"/>
  <c r="I27" i="4" s="1"/>
  <c r="H28" i="4"/>
  <c r="I28" i="4" s="1"/>
  <c r="H29" i="4"/>
  <c r="I29" i="4" s="1"/>
  <c r="I11" i="2"/>
  <c r="K34" i="8"/>
  <c r="S34" i="8" s="1"/>
  <c r="H21" i="11"/>
  <c r="I21" i="11" s="1"/>
  <c r="H22" i="11"/>
  <c r="I22" i="11" s="1"/>
  <c r="Q34" i="8"/>
  <c r="Y34" i="8" s="1"/>
  <c r="I7" i="11"/>
  <c r="H23" i="11" s="1"/>
  <c r="I23" i="11" s="1"/>
  <c r="H23" i="6"/>
  <c r="I23" i="6" s="1"/>
  <c r="H24" i="11"/>
  <c r="I24" i="11" s="1"/>
  <c r="Q35" i="8"/>
  <c r="Y35" i="8" s="1"/>
  <c r="B10" i="8"/>
  <c r="E51" i="8" s="1"/>
  <c r="V51" i="8" s="1"/>
  <c r="B92" i="8" s="1"/>
  <c r="J92" i="8" s="1"/>
  <c r="R133" i="8" s="1"/>
  <c r="R174" i="8" s="1"/>
  <c r="B18" i="8"/>
  <c r="E59" i="8" s="1"/>
  <c r="V59" i="8" s="1"/>
  <c r="B100" i="8" s="1"/>
  <c r="J100" i="8" s="1"/>
  <c r="R141" i="8" s="1"/>
  <c r="R182" i="8" s="1"/>
  <c r="O149" i="8"/>
  <c r="O190" i="8" s="1"/>
  <c r="P149" i="8"/>
  <c r="P190" i="8" s="1"/>
  <c r="K149" i="8"/>
  <c r="M149" i="8"/>
  <c r="M190" i="8" s="1"/>
  <c r="L149" i="8"/>
  <c r="L190" i="8" s="1"/>
  <c r="N149" i="8"/>
  <c r="N190" i="8" s="1"/>
  <c r="Q149" i="8"/>
  <c r="Q190" i="8" s="1"/>
  <c r="B33" i="8"/>
  <c r="E74" i="8" s="1"/>
  <c r="V74" i="8" s="1"/>
  <c r="B115" i="8" s="1"/>
  <c r="J115" i="8" s="1"/>
  <c r="R156" i="8" s="1"/>
  <c r="R197" i="8" s="1"/>
  <c r="B38" i="8"/>
  <c r="E79" i="8" s="1"/>
  <c r="V79" i="8" s="1"/>
  <c r="B120" i="8" s="1"/>
  <c r="J120" i="8" s="1"/>
  <c r="R161" i="8" s="1"/>
  <c r="R202" i="8" s="1"/>
  <c r="H19" i="5"/>
  <c r="I19" i="5" s="1"/>
  <c r="O7" i="8"/>
  <c r="W7" i="8" s="1"/>
  <c r="B7" i="8" s="1"/>
  <c r="E48" i="8" s="1"/>
  <c r="H21" i="12"/>
  <c r="I21" i="12" s="1"/>
  <c r="H22" i="12"/>
  <c r="I22" i="12" s="1"/>
  <c r="H23" i="12"/>
  <c r="I23" i="12" s="1"/>
  <c r="B99" i="8"/>
  <c r="B113" i="8"/>
  <c r="B106" i="8"/>
  <c r="B28" i="8"/>
  <c r="E69" i="8" s="1"/>
  <c r="U69" i="8" s="1"/>
  <c r="B8" i="8"/>
  <c r="E49" i="8" s="1"/>
  <c r="R49" i="8" s="1"/>
  <c r="B16" i="8"/>
  <c r="E57" i="8" s="1"/>
  <c r="R57" i="8" s="1"/>
  <c r="B32" i="8"/>
  <c r="E73" i="8" s="1"/>
  <c r="B25" i="8"/>
  <c r="E66" i="8" s="1"/>
  <c r="B20" i="8"/>
  <c r="E62" i="8" s="1"/>
  <c r="P62" i="8" s="1"/>
  <c r="B9" i="8"/>
  <c r="E50" i="8" s="1"/>
  <c r="H17" i="2"/>
  <c r="H18" i="2"/>
  <c r="I18" i="2" s="1"/>
  <c r="H19" i="2"/>
  <c r="I19" i="2" s="1"/>
  <c r="M3" i="8"/>
  <c r="U3" i="8" s="1"/>
  <c r="H18" i="3"/>
  <c r="I18" i="3" s="1"/>
  <c r="H20" i="2"/>
  <c r="I20" i="2" s="1"/>
  <c r="K3" i="8"/>
  <c r="S3" i="8" s="1"/>
  <c r="O19" i="8"/>
  <c r="W19" i="8" s="1"/>
  <c r="H25" i="5"/>
  <c r="I25" i="5" s="1"/>
  <c r="H24" i="5"/>
  <c r="I24" i="5" s="1"/>
  <c r="B23" i="8"/>
  <c r="E64" i="8" s="1"/>
  <c r="M6" i="8"/>
  <c r="U6" i="8" s="1"/>
  <c r="H20" i="3"/>
  <c r="I20" i="3" s="1"/>
  <c r="B5" i="8"/>
  <c r="E46" i="8" s="1"/>
  <c r="B21" i="8"/>
  <c r="E61" i="8" s="1"/>
  <c r="B13" i="8"/>
  <c r="E53" i="8" s="1"/>
  <c r="H20" i="5"/>
  <c r="I20" i="5" s="1"/>
  <c r="O11" i="8"/>
  <c r="W11" i="8" s="1"/>
  <c r="H23" i="5"/>
  <c r="I23" i="5" s="1"/>
  <c r="H22" i="5"/>
  <c r="I22" i="5" s="1"/>
  <c r="H21" i="5"/>
  <c r="I21" i="5" s="1"/>
  <c r="H29" i="2"/>
  <c r="I29" i="2" s="1"/>
  <c r="M11" i="8"/>
  <c r="U11" i="8" s="1"/>
  <c r="H23" i="3"/>
  <c r="I23" i="3" s="1"/>
  <c r="M19" i="8"/>
  <c r="U19" i="8" s="1"/>
  <c r="H27" i="3"/>
  <c r="I27" i="3" s="1"/>
  <c r="B14" i="8"/>
  <c r="E55" i="8" s="1"/>
  <c r="B22" i="8"/>
  <c r="E63" i="8" s="1"/>
  <c r="P19" i="8"/>
  <c r="X19" i="8" s="1"/>
  <c r="H24" i="6"/>
  <c r="I24" i="6" s="1"/>
  <c r="H25" i="6"/>
  <c r="I25" i="6" s="1"/>
  <c r="P11" i="8"/>
  <c r="X11" i="8" s="1"/>
  <c r="H21" i="6"/>
  <c r="I21" i="6" s="1"/>
  <c r="H20" i="6"/>
  <c r="I20" i="6" s="1"/>
  <c r="H22" i="6"/>
  <c r="I22" i="6" s="1"/>
  <c r="H27" i="2"/>
  <c r="I27" i="2" s="1"/>
  <c r="H26" i="2"/>
  <c r="I26" i="2" s="1"/>
  <c r="H25" i="2"/>
  <c r="I25" i="2" s="1"/>
  <c r="K19" i="8"/>
  <c r="S19" i="8" s="1"/>
  <c r="H30" i="2"/>
  <c r="I30" i="2" s="1"/>
  <c r="H28" i="2"/>
  <c r="I28" i="2" s="1"/>
  <c r="K27" i="8"/>
  <c r="S27" i="8" s="1"/>
  <c r="B15" i="8"/>
  <c r="E56" i="8" s="1"/>
  <c r="B4" i="8"/>
  <c r="E45" i="8" s="1"/>
  <c r="B12" i="8"/>
  <c r="E54" i="8" s="1"/>
  <c r="L40" i="8"/>
  <c r="T40" i="8" s="1"/>
  <c r="H28" i="7"/>
  <c r="I28" i="7" s="1"/>
  <c r="H25" i="7"/>
  <c r="I25" i="7" s="1"/>
  <c r="H27" i="7"/>
  <c r="I27" i="7" s="1"/>
  <c r="H22" i="7"/>
  <c r="I22" i="7" s="1"/>
  <c r="H23" i="7"/>
  <c r="I23" i="7" s="1"/>
  <c r="H21" i="7"/>
  <c r="I21" i="7" s="1"/>
  <c r="H17" i="7"/>
  <c r="I17" i="7" s="1"/>
  <c r="H16" i="7"/>
  <c r="I16" i="7" s="1"/>
  <c r="H15" i="7"/>
  <c r="I15" i="7" s="1"/>
  <c r="H19" i="7"/>
  <c r="I19" i="7" s="1"/>
  <c r="H20" i="7"/>
  <c r="I20" i="7" s="1"/>
  <c r="H18" i="7"/>
  <c r="I18" i="7" s="1"/>
  <c r="L35" i="8"/>
  <c r="T35" i="8" s="1"/>
  <c r="H24" i="7"/>
  <c r="I24" i="7" s="1"/>
  <c r="H34" i="2" l="1"/>
  <c r="I34" i="2" s="1"/>
  <c r="K35" i="8"/>
  <c r="S35" i="8" s="1"/>
  <c r="H35" i="2"/>
  <c r="I35" i="2" s="1"/>
  <c r="H32" i="2"/>
  <c r="I32" i="2" s="1"/>
  <c r="H31" i="2"/>
  <c r="I31" i="2" s="1"/>
  <c r="H33" i="2"/>
  <c r="I33" i="2" s="1"/>
  <c r="K190" i="8"/>
  <c r="S149" i="8"/>
  <c r="K133" i="8"/>
  <c r="Q133" i="8"/>
  <c r="Q174" i="8" s="1"/>
  <c r="O133" i="8"/>
  <c r="O174" i="8" s="1"/>
  <c r="M133" i="8"/>
  <c r="M174" i="8" s="1"/>
  <c r="P133" i="8"/>
  <c r="P174" i="8" s="1"/>
  <c r="N133" i="8"/>
  <c r="N174" i="8" s="1"/>
  <c r="L133" i="8"/>
  <c r="L174" i="8" s="1"/>
  <c r="N141" i="8"/>
  <c r="N182" i="8" s="1"/>
  <c r="L141" i="8"/>
  <c r="L182" i="8" s="1"/>
  <c r="O141" i="8"/>
  <c r="O182" i="8" s="1"/>
  <c r="P141" i="8"/>
  <c r="P182" i="8" s="1"/>
  <c r="K141" i="8"/>
  <c r="M141" i="8"/>
  <c r="M182" i="8" s="1"/>
  <c r="Q141" i="8"/>
  <c r="Q182" i="8" s="1"/>
  <c r="E115" i="8"/>
  <c r="M156" i="8" s="1"/>
  <c r="M197" i="8" s="1"/>
  <c r="I115" i="8"/>
  <c r="Q156" i="8" s="1"/>
  <c r="Q197" i="8" s="1"/>
  <c r="C115" i="8"/>
  <c r="K156" i="8" s="1"/>
  <c r="F115" i="8"/>
  <c r="N156" i="8" s="1"/>
  <c r="N197" i="8" s="1"/>
  <c r="H115" i="8"/>
  <c r="P156" i="8" s="1"/>
  <c r="P197" i="8" s="1"/>
  <c r="G115" i="8"/>
  <c r="O156" i="8" s="1"/>
  <c r="O197" i="8" s="1"/>
  <c r="D115" i="8"/>
  <c r="L156" i="8" s="1"/>
  <c r="L197" i="8" s="1"/>
  <c r="Q161" i="8"/>
  <c r="Q202" i="8" s="1"/>
  <c r="P161" i="8"/>
  <c r="P202" i="8" s="1"/>
  <c r="O161" i="8"/>
  <c r="O202" i="8" s="1"/>
  <c r="N161" i="8"/>
  <c r="N202" i="8" s="1"/>
  <c r="M161" i="8"/>
  <c r="M202" i="8" s="1"/>
  <c r="L161" i="8"/>
  <c r="L202" i="8" s="1"/>
  <c r="K161" i="8"/>
  <c r="T48" i="8"/>
  <c r="S48" i="8"/>
  <c r="B89" i="8" s="1"/>
  <c r="D99" i="8"/>
  <c r="L140" i="8" s="1"/>
  <c r="L181" i="8" s="1"/>
  <c r="E99" i="8"/>
  <c r="M140" i="8" s="1"/>
  <c r="M181" i="8" s="1"/>
  <c r="F99" i="8"/>
  <c r="N140" i="8" s="1"/>
  <c r="N181" i="8" s="1"/>
  <c r="G99" i="8"/>
  <c r="O140" i="8" s="1"/>
  <c r="O181" i="8" s="1"/>
  <c r="H99" i="8"/>
  <c r="P140" i="8" s="1"/>
  <c r="P181" i="8" s="1"/>
  <c r="I99" i="8"/>
  <c r="Q140" i="8" s="1"/>
  <c r="Q181" i="8" s="1"/>
  <c r="J99" i="8"/>
  <c r="R140" i="8" s="1"/>
  <c r="R181" i="8" s="1"/>
  <c r="C99" i="8"/>
  <c r="K140" i="8" s="1"/>
  <c r="J113" i="8"/>
  <c r="R154" i="8" s="1"/>
  <c r="R195" i="8" s="1"/>
  <c r="I113" i="8"/>
  <c r="Q154" i="8" s="1"/>
  <c r="Q195" i="8" s="1"/>
  <c r="H113" i="8"/>
  <c r="P154" i="8" s="1"/>
  <c r="P195" i="8" s="1"/>
  <c r="G113" i="8"/>
  <c r="O154" i="8" s="1"/>
  <c r="O195" i="8" s="1"/>
  <c r="E113" i="8"/>
  <c r="M154" i="8" s="1"/>
  <c r="M195" i="8" s="1"/>
  <c r="D113" i="8"/>
  <c r="L154" i="8" s="1"/>
  <c r="L195" i="8" s="1"/>
  <c r="C113" i="8"/>
  <c r="K154" i="8" s="1"/>
  <c r="F113" i="8"/>
  <c r="N154" i="8" s="1"/>
  <c r="N195" i="8" s="1"/>
  <c r="C106" i="8"/>
  <c r="K147" i="8" s="1"/>
  <c r="D106" i="8"/>
  <c r="L147" i="8" s="1"/>
  <c r="L188" i="8" s="1"/>
  <c r="E106" i="8"/>
  <c r="M147" i="8" s="1"/>
  <c r="M188" i="8" s="1"/>
  <c r="G106" i="8"/>
  <c r="O147" i="8" s="1"/>
  <c r="O188" i="8" s="1"/>
  <c r="H106" i="8"/>
  <c r="P147" i="8" s="1"/>
  <c r="P188" i="8" s="1"/>
  <c r="I106" i="8"/>
  <c r="Q147" i="8" s="1"/>
  <c r="Q188" i="8" s="1"/>
  <c r="J106" i="8"/>
  <c r="R147" i="8" s="1"/>
  <c r="R188" i="8" s="1"/>
  <c r="F106" i="8"/>
  <c r="N147" i="8" s="1"/>
  <c r="N188" i="8" s="1"/>
  <c r="O73" i="8"/>
  <c r="B114" i="8" s="1"/>
  <c r="O66" i="8"/>
  <c r="B107" i="8" s="1"/>
  <c r="B110" i="8"/>
  <c r="B90" i="8"/>
  <c r="B98" i="8"/>
  <c r="B103" i="8"/>
  <c r="O50" i="8"/>
  <c r="B91" i="8" s="1"/>
  <c r="B6" i="8"/>
  <c r="E47" i="8" s="1"/>
  <c r="B3" i="8"/>
  <c r="E44" i="8" s="1"/>
  <c r="P45" i="8"/>
  <c r="B86" i="8" s="1"/>
  <c r="P54" i="8"/>
  <c r="B95" i="8" s="1"/>
  <c r="Q55" i="8"/>
  <c r="B96" i="8" s="1"/>
  <c r="U46" i="8"/>
  <c r="B87" i="8" s="1"/>
  <c r="U61" i="8"/>
  <c r="B102" i="8" s="1"/>
  <c r="U53" i="8"/>
  <c r="B94" i="8" s="1"/>
  <c r="Q63" i="8"/>
  <c r="B104" i="8" s="1"/>
  <c r="S64" i="8"/>
  <c r="T64" i="8"/>
  <c r="B11" i="8"/>
  <c r="E52" i="8" s="1"/>
  <c r="B19" i="8"/>
  <c r="E60" i="8" s="1"/>
  <c r="Q80" i="8"/>
  <c r="P80" i="8"/>
  <c r="S56" i="8"/>
  <c r="T56" i="8"/>
  <c r="K174" i="8" l="1"/>
  <c r="S133" i="8"/>
  <c r="K182" i="8"/>
  <c r="S141" i="8"/>
  <c r="K197" i="8"/>
  <c r="S156" i="8"/>
  <c r="K202" i="8"/>
  <c r="S161" i="8"/>
  <c r="K181" i="8"/>
  <c r="S140" i="8"/>
  <c r="K188" i="8"/>
  <c r="S147" i="8"/>
  <c r="K195" i="8"/>
  <c r="S154" i="8"/>
  <c r="B105" i="8"/>
  <c r="B97" i="8"/>
  <c r="G89" i="8"/>
  <c r="O130" i="8" s="1"/>
  <c r="O171" i="8" s="1"/>
  <c r="H89" i="8"/>
  <c r="P130" i="8" s="1"/>
  <c r="P171" i="8" s="1"/>
  <c r="J89" i="8"/>
  <c r="R130" i="8" s="1"/>
  <c r="R171" i="8" s="1"/>
  <c r="I89" i="8"/>
  <c r="Q130" i="8" s="1"/>
  <c r="Q171" i="8" s="1"/>
  <c r="F89" i="8"/>
  <c r="N130" i="8" s="1"/>
  <c r="N171" i="8" s="1"/>
  <c r="E89" i="8"/>
  <c r="M130" i="8" s="1"/>
  <c r="M171" i="8" s="1"/>
  <c r="D89" i="8"/>
  <c r="L130" i="8" s="1"/>
  <c r="L171" i="8" s="1"/>
  <c r="C89" i="8"/>
  <c r="K130" i="8" s="1"/>
  <c r="C114" i="8"/>
  <c r="K155" i="8" s="1"/>
  <c r="D114" i="8"/>
  <c r="L155" i="8" s="1"/>
  <c r="L196" i="8" s="1"/>
  <c r="E114" i="8"/>
  <c r="M155" i="8" s="1"/>
  <c r="M196" i="8" s="1"/>
  <c r="F114" i="8"/>
  <c r="N155" i="8" s="1"/>
  <c r="N196" i="8" s="1"/>
  <c r="G114" i="8"/>
  <c r="O155" i="8" s="1"/>
  <c r="O196" i="8" s="1"/>
  <c r="H114" i="8"/>
  <c r="P155" i="8" s="1"/>
  <c r="P196" i="8" s="1"/>
  <c r="I114" i="8"/>
  <c r="Q155" i="8" s="1"/>
  <c r="Q196" i="8" s="1"/>
  <c r="J114" i="8"/>
  <c r="R155" i="8" s="1"/>
  <c r="R196" i="8" s="1"/>
  <c r="C107" i="8"/>
  <c r="K148" i="8" s="1"/>
  <c r="J107" i="8"/>
  <c r="R148" i="8" s="1"/>
  <c r="R189" i="8" s="1"/>
  <c r="I107" i="8"/>
  <c r="Q148" i="8" s="1"/>
  <c r="Q189" i="8" s="1"/>
  <c r="H107" i="8"/>
  <c r="P148" i="8" s="1"/>
  <c r="P189" i="8" s="1"/>
  <c r="G107" i="8"/>
  <c r="O148" i="8" s="1"/>
  <c r="O189" i="8" s="1"/>
  <c r="F107" i="8"/>
  <c r="N148" i="8" s="1"/>
  <c r="N189" i="8" s="1"/>
  <c r="E107" i="8"/>
  <c r="M148" i="8" s="1"/>
  <c r="M189" i="8" s="1"/>
  <c r="D107" i="8"/>
  <c r="L148" i="8" s="1"/>
  <c r="L189" i="8" s="1"/>
  <c r="D110" i="8"/>
  <c r="L151" i="8" s="1"/>
  <c r="L192" i="8" s="1"/>
  <c r="E110" i="8"/>
  <c r="M151" i="8" s="1"/>
  <c r="M192" i="8" s="1"/>
  <c r="F110" i="8"/>
  <c r="N151" i="8" s="1"/>
  <c r="N192" i="8" s="1"/>
  <c r="G110" i="8"/>
  <c r="O151" i="8" s="1"/>
  <c r="O192" i="8" s="1"/>
  <c r="H110" i="8"/>
  <c r="P151" i="8" s="1"/>
  <c r="P192" i="8" s="1"/>
  <c r="J110" i="8"/>
  <c r="R151" i="8" s="1"/>
  <c r="R192" i="8" s="1"/>
  <c r="C110" i="8"/>
  <c r="K151" i="8" s="1"/>
  <c r="I110" i="8"/>
  <c r="Q151" i="8" s="1"/>
  <c r="Q192" i="8" s="1"/>
  <c r="C90" i="8"/>
  <c r="K131" i="8" s="1"/>
  <c r="D90" i="8"/>
  <c r="L131" i="8" s="1"/>
  <c r="L172" i="8" s="1"/>
  <c r="E90" i="8"/>
  <c r="M131" i="8" s="1"/>
  <c r="M172" i="8" s="1"/>
  <c r="G90" i="8"/>
  <c r="O131" i="8" s="1"/>
  <c r="O172" i="8" s="1"/>
  <c r="H90" i="8"/>
  <c r="P131" i="8" s="1"/>
  <c r="P172" i="8" s="1"/>
  <c r="I90" i="8"/>
  <c r="Q131" i="8" s="1"/>
  <c r="Q172" i="8" s="1"/>
  <c r="J90" i="8"/>
  <c r="R131" i="8" s="1"/>
  <c r="R172" i="8" s="1"/>
  <c r="F90" i="8"/>
  <c r="N131" i="8" s="1"/>
  <c r="N172" i="8" s="1"/>
  <c r="C98" i="8"/>
  <c r="K139" i="8" s="1"/>
  <c r="D98" i="8"/>
  <c r="L139" i="8" s="1"/>
  <c r="L180" i="8" s="1"/>
  <c r="E98" i="8"/>
  <c r="M139" i="8" s="1"/>
  <c r="M180" i="8" s="1"/>
  <c r="H98" i="8"/>
  <c r="P139" i="8" s="1"/>
  <c r="P180" i="8" s="1"/>
  <c r="I98" i="8"/>
  <c r="Q139" i="8" s="1"/>
  <c r="Q180" i="8" s="1"/>
  <c r="G98" i="8"/>
  <c r="O139" i="8" s="1"/>
  <c r="O180" i="8" s="1"/>
  <c r="J98" i="8"/>
  <c r="R139" i="8" s="1"/>
  <c r="R180" i="8" s="1"/>
  <c r="F98" i="8"/>
  <c r="N139" i="8" s="1"/>
  <c r="N180" i="8" s="1"/>
  <c r="E103" i="8"/>
  <c r="M144" i="8" s="1"/>
  <c r="M185" i="8" s="1"/>
  <c r="F103" i="8"/>
  <c r="N144" i="8" s="1"/>
  <c r="N185" i="8" s="1"/>
  <c r="G103" i="8"/>
  <c r="O144" i="8" s="1"/>
  <c r="O185" i="8" s="1"/>
  <c r="H103" i="8"/>
  <c r="P144" i="8" s="1"/>
  <c r="P185" i="8" s="1"/>
  <c r="J103" i="8"/>
  <c r="R144" i="8" s="1"/>
  <c r="R185" i="8" s="1"/>
  <c r="C103" i="8"/>
  <c r="K144" i="8" s="1"/>
  <c r="I103" i="8"/>
  <c r="Q144" i="8" s="1"/>
  <c r="Q185" i="8" s="1"/>
  <c r="D103" i="8"/>
  <c r="L144" i="8" s="1"/>
  <c r="L185" i="8" s="1"/>
  <c r="C91" i="8"/>
  <c r="K132" i="8" s="1"/>
  <c r="G91" i="8"/>
  <c r="O132" i="8" s="1"/>
  <c r="O173" i="8" s="1"/>
  <c r="F91" i="8"/>
  <c r="N132" i="8" s="1"/>
  <c r="N173" i="8" s="1"/>
  <c r="E91" i="8"/>
  <c r="M132" i="8" s="1"/>
  <c r="M173" i="8" s="1"/>
  <c r="D91" i="8"/>
  <c r="L132" i="8" s="1"/>
  <c r="L173" i="8" s="1"/>
  <c r="I91" i="8"/>
  <c r="Q132" i="8" s="1"/>
  <c r="Q173" i="8" s="1"/>
  <c r="J91" i="8"/>
  <c r="R132" i="8" s="1"/>
  <c r="R173" i="8" s="1"/>
  <c r="H91" i="8"/>
  <c r="P132" i="8" s="1"/>
  <c r="P173" i="8" s="1"/>
  <c r="J86" i="8"/>
  <c r="R127" i="8" s="1"/>
  <c r="R168" i="8" s="1"/>
  <c r="I86" i="8"/>
  <c r="Q127" i="8" s="1"/>
  <c r="Q168" i="8" s="1"/>
  <c r="H86" i="8"/>
  <c r="P127" i="8" s="1"/>
  <c r="P168" i="8" s="1"/>
  <c r="G86" i="8"/>
  <c r="O127" i="8" s="1"/>
  <c r="O168" i="8" s="1"/>
  <c r="F86" i="8"/>
  <c r="N127" i="8" s="1"/>
  <c r="N168" i="8" s="1"/>
  <c r="E86" i="8"/>
  <c r="M127" i="8" s="1"/>
  <c r="M168" i="8" s="1"/>
  <c r="C86" i="8"/>
  <c r="K127" i="8" s="1"/>
  <c r="D86" i="8"/>
  <c r="L127" i="8" s="1"/>
  <c r="L168" i="8" s="1"/>
  <c r="J95" i="8"/>
  <c r="R136" i="8" s="1"/>
  <c r="R177" i="8" s="1"/>
  <c r="C95" i="8"/>
  <c r="K136" i="8" s="1"/>
  <c r="E95" i="8"/>
  <c r="M136" i="8" s="1"/>
  <c r="M177" i="8" s="1"/>
  <c r="F95" i="8"/>
  <c r="N136" i="8" s="1"/>
  <c r="N177" i="8" s="1"/>
  <c r="G95" i="8"/>
  <c r="O136" i="8" s="1"/>
  <c r="O177" i="8" s="1"/>
  <c r="H95" i="8"/>
  <c r="P136" i="8" s="1"/>
  <c r="P177" i="8" s="1"/>
  <c r="I95" i="8"/>
  <c r="Q136" i="8" s="1"/>
  <c r="Q177" i="8" s="1"/>
  <c r="D95" i="8"/>
  <c r="L136" i="8" s="1"/>
  <c r="L177" i="8" s="1"/>
  <c r="J87" i="8"/>
  <c r="R128" i="8" s="1"/>
  <c r="R169" i="8" s="1"/>
  <c r="H87" i="8"/>
  <c r="P128" i="8" s="1"/>
  <c r="P169" i="8" s="1"/>
  <c r="G87" i="8"/>
  <c r="O128" i="8" s="1"/>
  <c r="O169" i="8" s="1"/>
  <c r="F87" i="8"/>
  <c r="N128" i="8" s="1"/>
  <c r="N169" i="8" s="1"/>
  <c r="E87" i="8"/>
  <c r="M128" i="8" s="1"/>
  <c r="M169" i="8" s="1"/>
  <c r="D87" i="8"/>
  <c r="L128" i="8" s="1"/>
  <c r="L169" i="8" s="1"/>
  <c r="C87" i="8"/>
  <c r="K128" i="8" s="1"/>
  <c r="I87" i="8"/>
  <c r="Q128" i="8" s="1"/>
  <c r="Q169" i="8" s="1"/>
  <c r="H102" i="8"/>
  <c r="P143" i="8" s="1"/>
  <c r="P184" i="8" s="1"/>
  <c r="G102" i="8"/>
  <c r="O143" i="8" s="1"/>
  <c r="O184" i="8" s="1"/>
  <c r="F102" i="8"/>
  <c r="N143" i="8" s="1"/>
  <c r="N184" i="8" s="1"/>
  <c r="E102" i="8"/>
  <c r="M143" i="8" s="1"/>
  <c r="M184" i="8" s="1"/>
  <c r="C102" i="8"/>
  <c r="K143" i="8" s="1"/>
  <c r="J102" i="8"/>
  <c r="R143" i="8" s="1"/>
  <c r="R184" i="8" s="1"/>
  <c r="I102" i="8"/>
  <c r="Q143" i="8" s="1"/>
  <c r="Q184" i="8" s="1"/>
  <c r="D102" i="8"/>
  <c r="L143" i="8" s="1"/>
  <c r="L184" i="8" s="1"/>
  <c r="G94" i="8"/>
  <c r="O135" i="8" s="1"/>
  <c r="O176" i="8" s="1"/>
  <c r="F94" i="8"/>
  <c r="N135" i="8" s="1"/>
  <c r="N176" i="8" s="1"/>
  <c r="E94" i="8"/>
  <c r="M135" i="8" s="1"/>
  <c r="M176" i="8" s="1"/>
  <c r="C94" i="8"/>
  <c r="K135" i="8" s="1"/>
  <c r="H94" i="8"/>
  <c r="P135" i="8" s="1"/>
  <c r="P176" i="8" s="1"/>
  <c r="J94" i="8"/>
  <c r="R135" i="8" s="1"/>
  <c r="R176" i="8" s="1"/>
  <c r="I94" i="8"/>
  <c r="Q135" i="8" s="1"/>
  <c r="Q176" i="8" s="1"/>
  <c r="D94" i="8"/>
  <c r="L135" i="8" s="1"/>
  <c r="L176" i="8" s="1"/>
  <c r="S44" i="8"/>
  <c r="T44" i="8"/>
  <c r="Q44" i="8"/>
  <c r="O44" i="8"/>
  <c r="B85" i="8" s="1"/>
  <c r="Q47" i="8"/>
  <c r="B88" i="8" s="1"/>
  <c r="D96" i="8"/>
  <c r="L137" i="8" s="1"/>
  <c r="L178" i="8" s="1"/>
  <c r="F96" i="8"/>
  <c r="N137" i="8" s="1"/>
  <c r="N178" i="8" s="1"/>
  <c r="G96" i="8"/>
  <c r="O137" i="8" s="1"/>
  <c r="O178" i="8" s="1"/>
  <c r="H96" i="8"/>
  <c r="P137" i="8" s="1"/>
  <c r="P178" i="8" s="1"/>
  <c r="I96" i="8"/>
  <c r="Q137" i="8" s="1"/>
  <c r="Q178" i="8" s="1"/>
  <c r="J96" i="8"/>
  <c r="R137" i="8" s="1"/>
  <c r="R178" i="8" s="1"/>
  <c r="C96" i="8"/>
  <c r="K137" i="8" s="1"/>
  <c r="E96" i="8"/>
  <c r="M137" i="8" s="1"/>
  <c r="M178" i="8" s="1"/>
  <c r="C104" i="8"/>
  <c r="K145" i="8" s="1"/>
  <c r="D104" i="8"/>
  <c r="L145" i="8" s="1"/>
  <c r="L186" i="8" s="1"/>
  <c r="F104" i="8"/>
  <c r="N145" i="8" s="1"/>
  <c r="N186" i="8" s="1"/>
  <c r="G104" i="8"/>
  <c r="O145" i="8" s="1"/>
  <c r="O186" i="8" s="1"/>
  <c r="I104" i="8"/>
  <c r="Q145" i="8" s="1"/>
  <c r="Q186" i="8" s="1"/>
  <c r="J104" i="8"/>
  <c r="R145" i="8" s="1"/>
  <c r="R186" i="8" s="1"/>
  <c r="H104" i="8"/>
  <c r="P145" i="8" s="1"/>
  <c r="P186" i="8" s="1"/>
  <c r="E104" i="8"/>
  <c r="M145" i="8" s="1"/>
  <c r="M186" i="8" s="1"/>
  <c r="T60" i="8"/>
  <c r="S60" i="8"/>
  <c r="Q60" i="8"/>
  <c r="O60" i="8"/>
  <c r="O52" i="8"/>
  <c r="T52" i="8"/>
  <c r="S52" i="8"/>
  <c r="Q52" i="8"/>
  <c r="P81" i="8"/>
  <c r="T81" i="8"/>
  <c r="S81" i="8"/>
  <c r="R81" i="8"/>
  <c r="O81" i="8"/>
  <c r="T80" i="8"/>
  <c r="S80" i="8"/>
  <c r="R80" i="8"/>
  <c r="O80" i="8"/>
  <c r="D83" i="1"/>
  <c r="F83" i="1" s="1"/>
  <c r="D84" i="1"/>
  <c r="F84" i="1" s="1"/>
  <c r="D82" i="1"/>
  <c r="F82" i="1" s="1"/>
  <c r="D85" i="1"/>
  <c r="F85" i="1" s="1"/>
  <c r="G84" i="1" l="1"/>
  <c r="B101" i="8"/>
  <c r="K171" i="8"/>
  <c r="S130" i="8"/>
  <c r="K189" i="8"/>
  <c r="S148" i="8"/>
  <c r="K172" i="8"/>
  <c r="S131" i="8"/>
  <c r="K180" i="8"/>
  <c r="S139" i="8"/>
  <c r="K185" i="8"/>
  <c r="S144" i="8"/>
  <c r="K173" i="8"/>
  <c r="S132" i="8"/>
  <c r="K168" i="8"/>
  <c r="S127" i="8"/>
  <c r="K177" i="8"/>
  <c r="S136" i="8"/>
  <c r="K169" i="8"/>
  <c r="S128" i="8"/>
  <c r="K184" i="8"/>
  <c r="S143" i="8"/>
  <c r="K176" i="8"/>
  <c r="S135" i="8"/>
  <c r="K178" i="8"/>
  <c r="S137" i="8"/>
  <c r="K186" i="8"/>
  <c r="S145" i="8"/>
  <c r="K192" i="8"/>
  <c r="S151" i="8"/>
  <c r="K196" i="8"/>
  <c r="S155" i="8"/>
  <c r="I85" i="8"/>
  <c r="Q126" i="8" s="1"/>
  <c r="Q167" i="8" s="1"/>
  <c r="J85" i="8"/>
  <c r="R126" i="8" s="1"/>
  <c r="R167" i="8" s="1"/>
  <c r="F85" i="8"/>
  <c r="N126" i="8" s="1"/>
  <c r="N167" i="8" s="1"/>
  <c r="D85" i="8"/>
  <c r="L126" i="8" s="1"/>
  <c r="L167" i="8" s="1"/>
  <c r="H105" i="8"/>
  <c r="P146" i="8" s="1"/>
  <c r="P187" i="8" s="1"/>
  <c r="C105" i="8"/>
  <c r="K146" i="8" s="1"/>
  <c r="D105" i="8"/>
  <c r="L146" i="8" s="1"/>
  <c r="L187" i="8" s="1"/>
  <c r="E105" i="8"/>
  <c r="M146" i="8" s="1"/>
  <c r="M187" i="8" s="1"/>
  <c r="F105" i="8"/>
  <c r="N146" i="8" s="1"/>
  <c r="N187" i="8" s="1"/>
  <c r="I105" i="8"/>
  <c r="Q146" i="8" s="1"/>
  <c r="Q187" i="8" s="1"/>
  <c r="J105" i="8"/>
  <c r="R146" i="8" s="1"/>
  <c r="R187" i="8" s="1"/>
  <c r="G105" i="8"/>
  <c r="O146" i="8" s="1"/>
  <c r="O187" i="8" s="1"/>
  <c r="D97" i="8"/>
  <c r="L138" i="8" s="1"/>
  <c r="L179" i="8" s="1"/>
  <c r="E97" i="8"/>
  <c r="M138" i="8" s="1"/>
  <c r="M179" i="8" s="1"/>
  <c r="F97" i="8"/>
  <c r="N138" i="8" s="1"/>
  <c r="N179" i="8" s="1"/>
  <c r="I97" i="8"/>
  <c r="Q138" i="8" s="1"/>
  <c r="Q179" i="8" s="1"/>
  <c r="J97" i="8"/>
  <c r="R138" i="8" s="1"/>
  <c r="R179" i="8" s="1"/>
  <c r="C97" i="8"/>
  <c r="K138" i="8" s="1"/>
  <c r="H97" i="8"/>
  <c r="P138" i="8" s="1"/>
  <c r="P179" i="8" s="1"/>
  <c r="G97" i="8"/>
  <c r="O138" i="8" s="1"/>
  <c r="O179" i="8" s="1"/>
  <c r="B93" i="8"/>
  <c r="D88" i="8"/>
  <c r="L129" i="8" s="1"/>
  <c r="L170" i="8" s="1"/>
  <c r="C88" i="8"/>
  <c r="K129" i="8" s="1"/>
  <c r="G88" i="8"/>
  <c r="O129" i="8" s="1"/>
  <c r="O170" i="8" s="1"/>
  <c r="H88" i="8"/>
  <c r="P129" i="8" s="1"/>
  <c r="P170" i="8" s="1"/>
  <c r="I88" i="8"/>
  <c r="Q129" i="8" s="1"/>
  <c r="Q170" i="8" s="1"/>
  <c r="J88" i="8"/>
  <c r="R129" i="8" s="1"/>
  <c r="R170" i="8" s="1"/>
  <c r="F88" i="8"/>
  <c r="N129" i="8" s="1"/>
  <c r="N170" i="8" s="1"/>
  <c r="E88" i="8"/>
  <c r="M129" i="8" s="1"/>
  <c r="M170" i="8" s="1"/>
  <c r="C85" i="8"/>
  <c r="K126" i="8" s="1"/>
  <c r="E85" i="8"/>
  <c r="M126" i="8" s="1"/>
  <c r="M167" i="8" s="1"/>
  <c r="H85" i="8"/>
  <c r="P126" i="8" s="1"/>
  <c r="P167" i="8" s="1"/>
  <c r="G85" i="8"/>
  <c r="O126" i="8" s="1"/>
  <c r="O167" i="8" s="1"/>
  <c r="G83" i="1"/>
  <c r="G82" i="1"/>
  <c r="C101" i="8" l="1"/>
  <c r="K142" i="8" s="1"/>
  <c r="D101" i="8"/>
  <c r="L142" i="8" s="1"/>
  <c r="L183" i="8" s="1"/>
  <c r="L213" i="8" s="1"/>
  <c r="F101" i="8"/>
  <c r="N142" i="8" s="1"/>
  <c r="N183" i="8" s="1"/>
  <c r="N213" i="8" s="1"/>
  <c r="G101" i="8"/>
  <c r="O142" i="8" s="1"/>
  <c r="O183" i="8" s="1"/>
  <c r="O213" i="8" s="1"/>
  <c r="H101" i="8"/>
  <c r="P142" i="8" s="1"/>
  <c r="P183" i="8" s="1"/>
  <c r="P213" i="8" s="1"/>
  <c r="I101" i="8"/>
  <c r="Q142" i="8" s="1"/>
  <c r="Q183" i="8" s="1"/>
  <c r="Q213" i="8" s="1"/>
  <c r="J101" i="8"/>
  <c r="R142" i="8" s="1"/>
  <c r="R183" i="8" s="1"/>
  <c r="R213" i="8" s="1"/>
  <c r="E101" i="8"/>
  <c r="M142" i="8" s="1"/>
  <c r="M183" i="8" s="1"/>
  <c r="M213" i="8" s="1"/>
  <c r="K187" i="8"/>
  <c r="S146" i="8"/>
  <c r="K179" i="8"/>
  <c r="S138" i="8"/>
  <c r="K170" i="8"/>
  <c r="S129" i="8"/>
  <c r="K167" i="8"/>
  <c r="K209" i="8" s="1"/>
  <c r="S126" i="8"/>
  <c r="Q208" i="8"/>
  <c r="Q209" i="8"/>
  <c r="Q207" i="8"/>
  <c r="R208" i="8"/>
  <c r="R209" i="8"/>
  <c r="R207" i="8"/>
  <c r="N209" i="8"/>
  <c r="N208" i="8"/>
  <c r="N207" i="8"/>
  <c r="L209" i="8"/>
  <c r="L208" i="8"/>
  <c r="L207" i="8"/>
  <c r="M207" i="8"/>
  <c r="M209" i="8"/>
  <c r="M208" i="8"/>
  <c r="P207" i="8"/>
  <c r="P209" i="8"/>
  <c r="P208" i="8"/>
  <c r="O207" i="8"/>
  <c r="O209" i="8"/>
  <c r="O208" i="8"/>
  <c r="G85" i="1"/>
  <c r="J93" i="8"/>
  <c r="R134" i="8" s="1"/>
  <c r="R175" i="8" s="1"/>
  <c r="I93" i="8"/>
  <c r="Q134" i="8" s="1"/>
  <c r="Q175" i="8" s="1"/>
  <c r="H93" i="8"/>
  <c r="P134" i="8" s="1"/>
  <c r="P175" i="8" s="1"/>
  <c r="G93" i="8"/>
  <c r="O134" i="8" s="1"/>
  <c r="O175" i="8" s="1"/>
  <c r="F93" i="8"/>
  <c r="N134" i="8" s="1"/>
  <c r="N175" i="8" s="1"/>
  <c r="D93" i="8"/>
  <c r="L134" i="8" s="1"/>
  <c r="L175" i="8" s="1"/>
  <c r="C93" i="8"/>
  <c r="K134" i="8" s="1"/>
  <c r="E93" i="8"/>
  <c r="M134" i="8" s="1"/>
  <c r="M175" i="8" s="1"/>
  <c r="K208" i="8" l="1"/>
  <c r="S208" i="8" s="1"/>
  <c r="K207" i="8"/>
  <c r="S207" i="8" s="1"/>
  <c r="K183" i="8"/>
  <c r="K213" i="8" s="1"/>
  <c r="S213" i="8" s="1"/>
  <c r="S142" i="8"/>
  <c r="S209" i="8"/>
  <c r="K175" i="8"/>
  <c r="S134" i="8"/>
  <c r="R212" i="8"/>
  <c r="R210" i="8"/>
  <c r="Q212" i="8"/>
  <c r="Q210" i="8"/>
  <c r="P212" i="8"/>
  <c r="P210" i="8"/>
  <c r="O212" i="8"/>
  <c r="O210" i="8"/>
  <c r="N212" i="8"/>
  <c r="N210" i="8"/>
  <c r="L212" i="8"/>
  <c r="L210" i="8"/>
  <c r="M212" i="8"/>
  <c r="M210" i="8"/>
  <c r="R211" i="8"/>
  <c r="Q211" i="8"/>
  <c r="P211" i="8"/>
  <c r="O211" i="8"/>
  <c r="N211" i="8"/>
  <c r="L211" i="8"/>
  <c r="M211" i="8"/>
  <c r="K212" i="8" l="1"/>
  <c r="S212" i="8" s="1"/>
  <c r="K211" i="8"/>
  <c r="S211" i="8" s="1"/>
  <c r="K210" i="8"/>
  <c r="S210" i="8" s="1"/>
  <c r="P27" i="8"/>
  <c r="X27" i="8" s="1"/>
  <c r="I10" i="6" l="1"/>
  <c r="P30" i="8"/>
  <c r="X30" i="8" s="1"/>
  <c r="I11" i="6" l="1"/>
  <c r="H28" i="6" s="1"/>
  <c r="I28" i="6" s="1"/>
  <c r="P34" i="8"/>
  <c r="X34" i="8" s="1"/>
  <c r="H26" i="6"/>
  <c r="I26" i="6" s="1"/>
  <c r="H27" i="6" l="1"/>
  <c r="I27" i="6" s="1"/>
  <c r="H30" i="6"/>
  <c r="I30" i="6" s="1"/>
  <c r="H29" i="6"/>
  <c r="I29" i="6" s="1"/>
  <c r="H31" i="6"/>
  <c r="I31" i="6" s="1"/>
  <c r="P35" i="8"/>
  <c r="X35" i="8" s="1"/>
  <c r="O34" i="8" l="1"/>
  <c r="W34" i="8" s="1"/>
  <c r="O35" i="8" l="1"/>
  <c r="W35" i="8" s="1"/>
  <c r="I31" i="5"/>
  <c r="Q81" i="8" l="1"/>
  <c r="H29" i="11"/>
  <c r="I29" i="11" s="1"/>
  <c r="Q37" i="8"/>
  <c r="Y37" i="8" s="1"/>
  <c r="Q40" i="8"/>
  <c r="Y40" i="8" s="1"/>
  <c r="H25" i="11"/>
  <c r="I25" i="11" s="1"/>
  <c r="Q36" i="8"/>
  <c r="Y36" i="8" s="1"/>
  <c r="H27" i="11" l="1"/>
  <c r="I27" i="11" s="1"/>
  <c r="Q39" i="8"/>
  <c r="Y39" i="8" s="1"/>
  <c r="U81" i="8"/>
  <c r="B122" i="8" s="1"/>
  <c r="B40" i="8"/>
  <c r="I119" i="8"/>
  <c r="Q160" i="8" s="1"/>
  <c r="B37" i="8"/>
  <c r="E78" i="8" s="1"/>
  <c r="H28" i="11"/>
  <c r="I28" i="11" s="1"/>
  <c r="H26" i="11"/>
  <c r="I26" i="11" s="1"/>
  <c r="B36" i="8"/>
  <c r="E77" i="8" s="1"/>
  <c r="S160" i="8" l="1"/>
  <c r="Q201" i="8"/>
  <c r="U80" i="8"/>
  <c r="B121" i="8" s="1"/>
  <c r="D121" i="8" s="1"/>
  <c r="L162" i="8" s="1"/>
  <c r="L203" i="8" s="1"/>
  <c r="B39" i="8"/>
  <c r="H122" i="8"/>
  <c r="P163" i="8" s="1"/>
  <c r="P204" i="8" s="1"/>
  <c r="E122" i="8"/>
  <c r="M163" i="8" s="1"/>
  <c r="M204" i="8" s="1"/>
  <c r="C122" i="8"/>
  <c r="K163" i="8" s="1"/>
  <c r="K204" i="8" s="1"/>
  <c r="D122" i="8"/>
  <c r="L163" i="8" s="1"/>
  <c r="L204" i="8" s="1"/>
  <c r="F122" i="8"/>
  <c r="N163" i="8" s="1"/>
  <c r="N204" i="8" s="1"/>
  <c r="G122" i="8"/>
  <c r="O163" i="8" s="1"/>
  <c r="I122" i="8"/>
  <c r="Q163" i="8" s="1"/>
  <c r="Q204" i="8" s="1"/>
  <c r="J122" i="8"/>
  <c r="R163" i="8" s="1"/>
  <c r="R204" i="8" s="1"/>
  <c r="U78" i="8"/>
  <c r="V78" i="8"/>
  <c r="U77" i="8"/>
  <c r="P77" i="8"/>
  <c r="B118" i="8" s="1"/>
  <c r="G121" i="8" l="1"/>
  <c r="O162" i="8" s="1"/>
  <c r="O203" i="8" s="1"/>
  <c r="C121" i="8"/>
  <c r="K162" i="8" s="1"/>
  <c r="K203" i="8" s="1"/>
  <c r="E121" i="8"/>
  <c r="M162" i="8" s="1"/>
  <c r="M203" i="8" s="1"/>
  <c r="J121" i="8"/>
  <c r="R162" i="8" s="1"/>
  <c r="R203" i="8" s="1"/>
  <c r="I121" i="8"/>
  <c r="Q162" i="8" s="1"/>
  <c r="Q203" i="8" s="1"/>
  <c r="H121" i="8"/>
  <c r="P162" i="8" s="1"/>
  <c r="P203" i="8" s="1"/>
  <c r="F121" i="8"/>
  <c r="N162" i="8" s="1"/>
  <c r="O204" i="8"/>
  <c r="S163" i="8"/>
  <c r="I118" i="8"/>
  <c r="Q159" i="8" s="1"/>
  <c r="Q200" i="8" s="1"/>
  <c r="D118" i="8"/>
  <c r="L159" i="8" s="1"/>
  <c r="L200" i="8" s="1"/>
  <c r="E118" i="8"/>
  <c r="M159" i="8" s="1"/>
  <c r="M200" i="8" s="1"/>
  <c r="F118" i="8"/>
  <c r="N159" i="8" s="1"/>
  <c r="N200" i="8" s="1"/>
  <c r="G118" i="8"/>
  <c r="O159" i="8" s="1"/>
  <c r="O200" i="8" s="1"/>
  <c r="H118" i="8"/>
  <c r="P159" i="8" s="1"/>
  <c r="P200" i="8" s="1"/>
  <c r="J118" i="8"/>
  <c r="R159" i="8" s="1"/>
  <c r="R200" i="8" s="1"/>
  <c r="C118" i="8"/>
  <c r="K159" i="8" s="1"/>
  <c r="N203" i="8" l="1"/>
  <c r="S162" i="8"/>
  <c r="R222" i="8"/>
  <c r="S159" i="8"/>
  <c r="K200" i="8"/>
  <c r="O27" i="8" l="1"/>
  <c r="W27" i="8" s="1"/>
  <c r="H26" i="5"/>
  <c r="I26" i="5" s="1"/>
  <c r="O30" i="8"/>
  <c r="W30" i="8" s="1"/>
  <c r="B30" i="8" s="1"/>
  <c r="E71" i="8" s="1"/>
  <c r="H28" i="5"/>
  <c r="I28" i="5" s="1"/>
  <c r="H29" i="5"/>
  <c r="I29" i="5" s="1"/>
  <c r="H27" i="5"/>
  <c r="I27" i="5" s="1"/>
  <c r="H30" i="5"/>
  <c r="I30" i="5" s="1"/>
  <c r="S71" i="8" l="1"/>
  <c r="T71" i="8"/>
  <c r="B112" i="8" l="1"/>
  <c r="G112" i="8" l="1"/>
  <c r="O153" i="8" s="1"/>
  <c r="O194" i="8" s="1"/>
  <c r="E112" i="8"/>
  <c r="M153" i="8" s="1"/>
  <c r="M194" i="8" s="1"/>
  <c r="H112" i="8"/>
  <c r="P153" i="8" s="1"/>
  <c r="P194" i="8" s="1"/>
  <c r="D112" i="8"/>
  <c r="L153" i="8" s="1"/>
  <c r="L194" i="8" s="1"/>
  <c r="C112" i="8"/>
  <c r="K153" i="8" s="1"/>
  <c r="J112" i="8"/>
  <c r="R153" i="8" s="1"/>
  <c r="R194" i="8" s="1"/>
  <c r="F112" i="8"/>
  <c r="N153" i="8" s="1"/>
  <c r="N194" i="8" s="1"/>
  <c r="I112" i="8"/>
  <c r="Q153" i="8" s="1"/>
  <c r="Q194" i="8" s="1"/>
  <c r="S153" i="8" l="1"/>
  <c r="K194" i="8"/>
  <c r="I10" i="3" l="1"/>
  <c r="M35" i="8"/>
  <c r="U35" i="8" s="1"/>
  <c r="B35" i="8" s="1"/>
  <c r="E76" i="8" s="1"/>
  <c r="M34" i="8" l="1"/>
  <c r="U34" i="8" s="1"/>
  <c r="B34" i="8" s="1"/>
  <c r="E75" i="8" s="1"/>
  <c r="I9" i="3"/>
  <c r="R76" i="8"/>
  <c r="U76" i="8"/>
  <c r="S76" i="8"/>
  <c r="T76" i="8"/>
  <c r="P76" i="8"/>
  <c r="O76" i="8"/>
  <c r="Q76" i="8"/>
  <c r="H35" i="3" l="1"/>
  <c r="I35" i="3" s="1"/>
  <c r="M29" i="8"/>
  <c r="U29" i="8" s="1"/>
  <c r="H38" i="3"/>
  <c r="I38" i="3" s="1"/>
  <c r="H39" i="3"/>
  <c r="I39" i="3" s="1"/>
  <c r="H34" i="3"/>
  <c r="I34" i="3" s="1"/>
  <c r="I8" i="3"/>
  <c r="H33" i="3" s="1"/>
  <c r="I33" i="3" s="1"/>
  <c r="T75" i="8"/>
  <c r="O75" i="8"/>
  <c r="R75" i="8"/>
  <c r="U75" i="8"/>
  <c r="Q75" i="8"/>
  <c r="P75" i="8"/>
  <c r="S75" i="8"/>
  <c r="B117" i="8"/>
  <c r="D117" i="8" s="1"/>
  <c r="L158" i="8" s="1"/>
  <c r="L199" i="8" s="1"/>
  <c r="G117" i="8" l="1"/>
  <c r="O158" i="8" s="1"/>
  <c r="O199" i="8" s="1"/>
  <c r="C117" i="8"/>
  <c r="K158" i="8" s="1"/>
  <c r="K199" i="8" s="1"/>
  <c r="H117" i="8"/>
  <c r="P158" i="8" s="1"/>
  <c r="P199" i="8" s="1"/>
  <c r="J117" i="8"/>
  <c r="R158" i="8" s="1"/>
  <c r="R199" i="8" s="1"/>
  <c r="I117" i="8"/>
  <c r="Q158" i="8" s="1"/>
  <c r="Q199" i="8" s="1"/>
  <c r="B116" i="8"/>
  <c r="B29" i="8"/>
  <c r="E70" i="8" s="1"/>
  <c r="Q70" i="8" s="1"/>
  <c r="B111" i="8" s="1"/>
  <c r="E111" i="8" s="1"/>
  <c r="M152" i="8" s="1"/>
  <c r="M193" i="8" s="1"/>
  <c r="M222" i="8" s="1"/>
  <c r="M27" i="8"/>
  <c r="U27" i="8" s="1"/>
  <c r="B27" i="8" s="1"/>
  <c r="E68" i="8" s="1"/>
  <c r="H32" i="3"/>
  <c r="I32" i="3" s="1"/>
  <c r="H31" i="3"/>
  <c r="I31" i="3" s="1"/>
  <c r="E117" i="8"/>
  <c r="M158" i="8" s="1"/>
  <c r="F117" i="8"/>
  <c r="N158" i="8" s="1"/>
  <c r="N199" i="8" s="1"/>
  <c r="I116" i="8" l="1"/>
  <c r="Q157" i="8" s="1"/>
  <c r="Q198" i="8" s="1"/>
  <c r="D116" i="8"/>
  <c r="L157" i="8" s="1"/>
  <c r="L198" i="8" s="1"/>
  <c r="F116" i="8"/>
  <c r="N157" i="8" s="1"/>
  <c r="N198" i="8" s="1"/>
  <c r="C116" i="8"/>
  <c r="K157" i="8" s="1"/>
  <c r="H116" i="8"/>
  <c r="P157" i="8" s="1"/>
  <c r="P198" i="8" s="1"/>
  <c r="J116" i="8"/>
  <c r="R157" i="8" s="1"/>
  <c r="R198" i="8" s="1"/>
  <c r="G116" i="8"/>
  <c r="O157" i="8" s="1"/>
  <c r="O198" i="8" s="1"/>
  <c r="E116" i="8"/>
  <c r="M157" i="8" s="1"/>
  <c r="M198" i="8" s="1"/>
  <c r="J111" i="8"/>
  <c r="R152" i="8" s="1"/>
  <c r="R193" i="8" s="1"/>
  <c r="F111" i="8"/>
  <c r="N152" i="8" s="1"/>
  <c r="N193" i="8" s="1"/>
  <c r="H111" i="8"/>
  <c r="P152" i="8" s="1"/>
  <c r="P193" i="8" s="1"/>
  <c r="C111" i="8"/>
  <c r="K152" i="8" s="1"/>
  <c r="G111" i="8"/>
  <c r="O152" i="8" s="1"/>
  <c r="O193" i="8" s="1"/>
  <c r="I111" i="8"/>
  <c r="Q152" i="8" s="1"/>
  <c r="Q193" i="8" s="1"/>
  <c r="D111" i="8"/>
  <c r="L152" i="8" s="1"/>
  <c r="L193" i="8" s="1"/>
  <c r="S68" i="8"/>
  <c r="T68" i="8"/>
  <c r="O68" i="8"/>
  <c r="Q68" i="8"/>
  <c r="S158" i="8"/>
  <c r="M199" i="8"/>
  <c r="M221" i="8"/>
  <c r="M219" i="8"/>
  <c r="M220" i="8"/>
  <c r="M218" i="8" l="1"/>
  <c r="S157" i="8"/>
  <c r="K198" i="8"/>
  <c r="R220" i="8"/>
  <c r="R221" i="8"/>
  <c r="R219" i="8"/>
  <c r="R218" i="8"/>
  <c r="N221" i="8"/>
  <c r="N222" i="8"/>
  <c r="P221" i="8"/>
  <c r="P219" i="8"/>
  <c r="P220" i="8"/>
  <c r="P218" i="8"/>
  <c r="P222" i="8"/>
  <c r="S152" i="8"/>
  <c r="K193" i="8"/>
  <c r="O221" i="8"/>
  <c r="O220" i="8"/>
  <c r="O219" i="8"/>
  <c r="O218" i="8"/>
  <c r="O222" i="8"/>
  <c r="Q220" i="8"/>
  <c r="Q219" i="8"/>
  <c r="Q221" i="8"/>
  <c r="Q218" i="8"/>
  <c r="Q222" i="8"/>
  <c r="L219" i="8"/>
  <c r="L221" i="8"/>
  <c r="L218" i="8"/>
  <c r="L220" i="8"/>
  <c r="L222" i="8"/>
  <c r="N218" i="8"/>
  <c r="N220" i="8"/>
  <c r="N219" i="8"/>
  <c r="B109" i="8"/>
  <c r="K219" i="8" l="1"/>
  <c r="S219" i="8" s="1"/>
  <c r="K221" i="8"/>
  <c r="S221" i="8" s="1"/>
  <c r="K220" i="8"/>
  <c r="S220" i="8" s="1"/>
  <c r="K218" i="8"/>
  <c r="S218" i="8" s="1"/>
  <c r="K222" i="8"/>
  <c r="S222" i="8" s="1"/>
  <c r="H109" i="8"/>
  <c r="P150" i="8" s="1"/>
  <c r="P191" i="8" s="1"/>
  <c r="J109" i="8"/>
  <c r="R150" i="8" s="1"/>
  <c r="R191" i="8" s="1"/>
  <c r="I109" i="8"/>
  <c r="Q150" i="8" s="1"/>
  <c r="Q191" i="8" s="1"/>
  <c r="D109" i="8"/>
  <c r="L150" i="8" s="1"/>
  <c r="L191" i="8" s="1"/>
  <c r="G109" i="8"/>
  <c r="O150" i="8" s="1"/>
  <c r="O191" i="8" s="1"/>
  <c r="E109" i="8"/>
  <c r="M150" i="8" s="1"/>
  <c r="M191" i="8" s="1"/>
  <c r="F109" i="8"/>
  <c r="N150" i="8" s="1"/>
  <c r="N191" i="8" s="1"/>
  <c r="C109" i="8"/>
  <c r="K150" i="8" s="1"/>
  <c r="P214" i="8" l="1"/>
  <c r="P215" i="8"/>
  <c r="P216" i="8"/>
  <c r="P217" i="8"/>
  <c r="R214" i="8"/>
  <c r="R216" i="8"/>
  <c r="R217" i="8"/>
  <c r="R215" i="8"/>
  <c r="Q216" i="8"/>
  <c r="Q214" i="8"/>
  <c r="Q215" i="8"/>
  <c r="Q217" i="8"/>
  <c r="L215" i="8"/>
  <c r="L217" i="8"/>
  <c r="L216" i="8"/>
  <c r="L214" i="8"/>
  <c r="O215" i="8"/>
  <c r="O217" i="8"/>
  <c r="O216" i="8"/>
  <c r="O214" i="8"/>
  <c r="M217" i="8"/>
  <c r="M215" i="8"/>
  <c r="M214" i="8"/>
  <c r="M216" i="8"/>
  <c r="N217" i="8"/>
  <c r="N216" i="8"/>
  <c r="N215" i="8"/>
  <c r="N214" i="8"/>
  <c r="S150" i="8"/>
  <c r="K191" i="8"/>
  <c r="K215" i="8" l="1"/>
  <c r="S215" i="8" s="1"/>
  <c r="K217" i="8"/>
  <c r="S217" i="8" s="1"/>
  <c r="K214" i="8"/>
  <c r="S214" i="8" s="1"/>
  <c r="K216" i="8"/>
  <c r="S216" i="8" s="1"/>
</calcChain>
</file>

<file path=xl/sharedStrings.xml><?xml version="1.0" encoding="utf-8"?>
<sst xmlns="http://schemas.openxmlformats.org/spreadsheetml/2006/main" count="927" uniqueCount="280">
  <si>
    <t>Year</t>
  </si>
  <si>
    <t>Good</t>
  </si>
  <si>
    <t>meat</t>
  </si>
  <si>
    <t>fish</t>
  </si>
  <si>
    <t>flour</t>
  </si>
  <si>
    <t>vegetables</t>
  </si>
  <si>
    <t>fruit</t>
  </si>
  <si>
    <t>Amount</t>
  </si>
  <si>
    <t>Link</t>
  </si>
  <si>
    <t>https://assets.publishing.service.gov.uk/media/5a7f0f7740f0b62305b84d2e/Domestic_Food_Consumption_and_Expenditure_1970_and_1971.pdf</t>
  </si>
  <si>
    <t>9.3. Consumption of Meat – The Industrial Revolution in England was not All Bad</t>
  </si>
  <si>
    <t>Microsoft Word - oct interim report.doc</t>
  </si>
  <si>
    <t>Industry</t>
  </si>
  <si>
    <t>Start year</t>
  </si>
  <si>
    <t>End year</t>
  </si>
  <si>
    <t>Midpoint</t>
  </si>
  <si>
    <t>Market1750</t>
  </si>
  <si>
    <t>distributionweight</t>
  </si>
  <si>
    <t>productivity</t>
  </si>
  <si>
    <t>InputFactor</t>
  </si>
  <si>
    <t>eff. Consumption</t>
  </si>
  <si>
    <t>Butchery1820</t>
  </si>
  <si>
    <t>Market1840</t>
  </si>
  <si>
    <t>Butchery1840</t>
  </si>
  <si>
    <t>Butchery1910</t>
  </si>
  <si>
    <t>Butchery1945</t>
  </si>
  <si>
    <t>Market1910</t>
  </si>
  <si>
    <t>Market1945</t>
  </si>
  <si>
    <t>Timeline</t>
  </si>
  <si>
    <t>Supermarket1960</t>
  </si>
  <si>
    <t>Supermarket1980</t>
  </si>
  <si>
    <t>Supermarket1950</t>
  </si>
  <si>
    <t>3.5  oz/man/day</t>
  </si>
  <si>
    <t>5.4 oz/man/day</t>
  </si>
  <si>
    <t>39.53 oz/man/week</t>
  </si>
  <si>
    <t>5.35 oz/man/week</t>
  </si>
  <si>
    <t>87.55 oz/man/week</t>
  </si>
  <si>
    <t>Current eff. Consumption</t>
  </si>
  <si>
    <t>Source consumption</t>
  </si>
  <si>
    <t>Source (interpolated)</t>
  </si>
  <si>
    <t>Source (relative)</t>
  </si>
  <si>
    <t>Adj. Consumption</t>
  </si>
  <si>
    <t>1016 g/man/week</t>
  </si>
  <si>
    <t>2140 g/man/week</t>
  </si>
  <si>
    <t>163 g/man/week</t>
  </si>
  <si>
    <t>ASSUMPTIONS</t>
  </si>
  <si>
    <t>1790 g/man/week</t>
  </si>
  <si>
    <t>flour consumption = all grain products (bread, pastry, flour) consumption (e.g. 'cereals' category)</t>
  </si>
  <si>
    <t>63.19 oz/man/week</t>
  </si>
  <si>
    <t>Fishmongers1820</t>
  </si>
  <si>
    <t>Fishmongers1840</t>
  </si>
  <si>
    <t>Fishmongers1910</t>
  </si>
  <si>
    <t>Fishmongers1945</t>
  </si>
  <si>
    <t>1.0 lb/man/day</t>
  </si>
  <si>
    <t>1.2 lb/man/day</t>
  </si>
  <si>
    <t>Bakery1750</t>
  </si>
  <si>
    <t>Bakery1840</t>
  </si>
  <si>
    <t>Bakery1910</t>
  </si>
  <si>
    <t>Bakery1945</t>
  </si>
  <si>
    <t>Greengrocers1820</t>
  </si>
  <si>
    <t>Greenfrocers1840</t>
  </si>
  <si>
    <t>Greengrocers1910</t>
  </si>
  <si>
    <t>Greengrocers1945</t>
  </si>
  <si>
    <t>60 cal potato/man/day</t>
  </si>
  <si>
    <t>175 cal potato/man/day</t>
  </si>
  <si>
    <t>9.3A. Consumption of Other Foods – The Industrial Revolution in England was not All Bad</t>
  </si>
  <si>
    <t>Midpoint industry</t>
  </si>
  <si>
    <t>Market1840+Greengrocers1840</t>
  </si>
  <si>
    <t>Market1910+Greengrocers1910</t>
  </si>
  <si>
    <t>Greengrocers1945+Supermarket1950</t>
  </si>
  <si>
    <t>9.1. Consumption of Cereals – The Industrial Revolution in England was not All Bad</t>
  </si>
  <si>
    <t>Amount (oz per 10,000 per simumonth)</t>
  </si>
  <si>
    <t>milk</t>
  </si>
  <si>
    <t>2156 ml/man/week</t>
  </si>
  <si>
    <t>0.15 pint/person/day</t>
  </si>
  <si>
    <t>0.11 pint/person/day</t>
  </si>
  <si>
    <t>5.08 pint/man/week</t>
  </si>
  <si>
    <t>Dairy1750</t>
  </si>
  <si>
    <t>Dairy1840</t>
  </si>
  <si>
    <t>Dairy1910</t>
  </si>
  <si>
    <t>NOTES</t>
  </si>
  <si>
    <t>~85 cal fruit/man/day (see note 1)</t>
  </si>
  <si>
    <t>Use 52 calories/100g for an apple for overall fruit calorie to weight calculation</t>
  </si>
  <si>
    <t>23.14 oz/man/week</t>
  </si>
  <si>
    <t>fresh fruit</t>
  </si>
  <si>
    <t>761 g/man/week</t>
  </si>
  <si>
    <t>1909-13</t>
  </si>
  <si>
    <t>The_Urban_Working_-_Class_Household_Diet_1940-1949.pdf</t>
  </si>
  <si>
    <t>41.3 oz/man/week</t>
  </si>
  <si>
    <t>12.6 oz/man/week</t>
  </si>
  <si>
    <t>71.2 oz/man/week</t>
  </si>
  <si>
    <t>97 oz/man/week</t>
  </si>
  <si>
    <t>19 oz/man/week</t>
  </si>
  <si>
    <t>Calories from cereals are given as ~1850/day at the end of the 18th century, and ~1500/day post-Industrial Revolution, so e.g. from 1.2lb/day of flour to 1.0.</t>
  </si>
  <si>
    <t>1934-35</t>
  </si>
  <si>
    <t>45 oz/man/week</t>
  </si>
  <si>
    <t>13.9 oz/man/week</t>
  </si>
  <si>
    <t>64.6 oz/man/week</t>
  </si>
  <si>
    <t>103.5 oz/man/week</t>
  </si>
  <si>
    <t>3.3 pints/man/week</t>
  </si>
  <si>
    <t>3.5 pints/man/week</t>
  </si>
  <si>
    <t>Modified consumption</t>
  </si>
  <si>
    <t>First ripple</t>
  </si>
  <si>
    <t>Average change</t>
  </si>
  <si>
    <t>Consumption (current)</t>
  </si>
  <si>
    <t>Consumption change</t>
  </si>
  <si>
    <t>Modified Consumption</t>
  </si>
  <si>
    <t>New consumption</t>
  </si>
  <si>
    <t>Consumption (modified)</t>
  </si>
  <si>
    <t>Productivity</t>
  </si>
  <si>
    <t>New Productivity</t>
  </si>
  <si>
    <t>Dist.weight</t>
  </si>
  <si>
    <t>New InputFactor</t>
  </si>
  <si>
    <t>Modified eff. Consumption</t>
  </si>
  <si>
    <t>Greengrocers1840</t>
  </si>
  <si>
    <t>Current eff. Cons.</t>
  </si>
  <si>
    <t>New dist.weight</t>
  </si>
  <si>
    <t>Canadian data will be used, as it is readily available and detailed. It is assumed that relative changes in number and size of stores over time in Canada are mirrored in the UK.</t>
  </si>
  <si>
    <t>Store type</t>
  </si>
  <si>
    <t>Number of stores</t>
  </si>
  <si>
    <t>Floor area (inferred)</t>
  </si>
  <si>
    <t>https://publications.gc.ca/collections/collection_2018/statcan/63-210/CS63-210-1933-eng.pdf</t>
  </si>
  <si>
    <t>https://publications.gc.ca/collections/collection_2018/statcan/63-210/CS63-210-1980.pdf</t>
  </si>
  <si>
    <t>https://publications.gc.ca/collections/Collection-R/Statcan/63-210-XIB/0009863-210-XIB.pdf</t>
  </si>
  <si>
    <t>Supermarket</t>
  </si>
  <si>
    <t>1998 figures for Canadian store floor area will be assumed to be equivalent to modern-day British footprint measurements for the purposes of scaling.</t>
  </si>
  <si>
    <t>Floor area (m2)</t>
  </si>
  <si>
    <t>SOURCES</t>
  </si>
  <si>
    <t>[1]</t>
  </si>
  <si>
    <t>[2]</t>
  </si>
  <si>
    <t>[3]</t>
  </si>
  <si>
    <t>[4]</t>
  </si>
  <si>
    <t>Grocery store</t>
  </si>
  <si>
    <t>Bakery</t>
  </si>
  <si>
    <t>Pharmacies</t>
  </si>
  <si>
    <t>Clothing stores (minus shoes)</t>
  </si>
  <si>
    <t>Furniture + appliance stores</t>
  </si>
  <si>
    <t>Book &amp; stationery stores</t>
  </si>
  <si>
    <t>ft^2 to m2 conversion:</t>
  </si>
  <si>
    <t>Drug stores</t>
  </si>
  <si>
    <t>Ingame industry</t>
  </si>
  <si>
    <t>Bookshop1970</t>
  </si>
  <si>
    <t>Chemist1955</t>
  </si>
  <si>
    <t>Chemist1975</t>
  </si>
  <si>
    <t>ClothesShop1960</t>
  </si>
  <si>
    <t>ClothesShop1990</t>
  </si>
  <si>
    <t>Footprint</t>
  </si>
  <si>
    <t>Relative floor area</t>
  </si>
  <si>
    <t>DepartmentStore1990</t>
  </si>
  <si>
    <t>SupermarketSmall1990</t>
  </si>
  <si>
    <t>Grocer1810</t>
  </si>
  <si>
    <t>Grocer1860</t>
  </si>
  <si>
    <t>Grocer1900</t>
  </si>
  <si>
    <t>Grocer1945</t>
  </si>
  <si>
    <t>Convenience1975</t>
  </si>
  <si>
    <t>N/A?</t>
  </si>
  <si>
    <t>New distweight</t>
  </si>
  <si>
    <t>Number of stores UK today</t>
  </si>
  <si>
    <t>Number of stores/industry</t>
  </si>
  <si>
    <t>https://publications.gc.ca/collections/collection_2018/statcan/63-210/CS63-210-1960-eng.pdf</t>
  </si>
  <si>
    <t>Meat market</t>
  </si>
  <si>
    <t>Variety stores</t>
  </si>
  <si>
    <t>Clothing stores</t>
  </si>
  <si>
    <t>Hardware stores</t>
  </si>
  <si>
    <t>Furniture stores</t>
  </si>
  <si>
    <t>Grocery &amp; combination stores</t>
  </si>
  <si>
    <t>Grocery stores</t>
  </si>
  <si>
    <t>Combination stores</t>
  </si>
  <si>
    <t>Meat markets</t>
  </si>
  <si>
    <t>Canadian population</t>
  </si>
  <si>
    <t>Relative footprint (pop. Adj)</t>
  </si>
  <si>
    <t>ClothesShop1945</t>
  </si>
  <si>
    <t>Department stores</t>
  </si>
  <si>
    <t>DepartmentStore1960</t>
  </si>
  <si>
    <t>Department stores 1980 calculations</t>
  </si>
  <si>
    <t>Total Major dept. stores</t>
  </si>
  <si>
    <t>Total Major dept. store sales</t>
  </si>
  <si>
    <t>Average major dept. store sales/m2</t>
  </si>
  <si>
    <t>Average major dept. store floorspace accessible to public</t>
  </si>
  <si>
    <t>Total Junior dept. stores</t>
  </si>
  <si>
    <t>Total Junior dept. store sales</t>
  </si>
  <si>
    <t>Average junior dept. store sales/m2</t>
  </si>
  <si>
    <t>Average junior dept. store floorspace accessible to public</t>
  </si>
  <si>
    <t>Total dept store 1980 floorspace accessible to public</t>
  </si>
  <si>
    <t>Average</t>
  </si>
  <si>
    <t>Clothing store floorspace accessible to public, 1980</t>
  </si>
  <si>
    <t>Clothing store floorspace total, 1980</t>
  </si>
  <si>
    <t>Accesssible to public to total ratio, 1980</t>
  </si>
  <si>
    <t>Inferred dept store 1980 total floorspace</t>
  </si>
  <si>
    <t>Department stores 1998 calcs</t>
  </si>
  <si>
    <t>Clothing store floorspace accessible to public, 1998</t>
  </si>
  <si>
    <t>Clothing store floorspace total, 1998</t>
  </si>
  <si>
    <t>Ratio, 1998</t>
  </si>
  <si>
    <t>Inferred dept store 1998 total floorspace</t>
  </si>
  <si>
    <t>Total dept store 1998 floorspace to public</t>
  </si>
  <si>
    <t>new distweight</t>
  </si>
  <si>
    <t>Canned meat</t>
  </si>
  <si>
    <t>Canned fish</t>
  </si>
  <si>
    <t>%</t>
  </si>
  <si>
    <t>Methodology:</t>
  </si>
  <si>
    <t>Consider everything canned or sold as ready meals or already-cooked as 'packaged food'</t>
  </si>
  <si>
    <t>Cheese</t>
  </si>
  <si>
    <t>e.g. for fruit, include fruit juices and 'other fruit products'</t>
  </si>
  <si>
    <t>Total</t>
  </si>
  <si>
    <t>Food type</t>
  </si>
  <si>
    <t>cheese</t>
  </si>
  <si>
    <t>TOTAL</t>
  </si>
  <si>
    <t>Dairy1975</t>
  </si>
  <si>
    <t>Cannery-fish1975</t>
  </si>
  <si>
    <t>distweight</t>
  </si>
  <si>
    <t>canned food</t>
  </si>
  <si>
    <t>Consumption 1970 (oz/week)</t>
  </si>
  <si>
    <t>Dairy1945</t>
  </si>
  <si>
    <t>Cannery-meat-1945</t>
  </si>
  <si>
    <t>Cannery-fruit-1945</t>
  </si>
  <si>
    <t>Cannery-fruit-1975</t>
  </si>
  <si>
    <t>Cannery-meat-1975</t>
  </si>
  <si>
    <t>Cannery-fish-1945</t>
  </si>
  <si>
    <t>% of total ptoduction</t>
  </si>
  <si>
    <t>Normalized</t>
  </si>
  <si>
    <t>Consumption 2000</t>
  </si>
  <si>
    <t>PetrolStation1975</t>
  </si>
  <si>
    <t>Grocers1810</t>
  </si>
  <si>
    <t>Convenience1975+PetrolStation1975</t>
  </si>
  <si>
    <t>canned</t>
  </si>
  <si>
    <t>beer</t>
  </si>
  <si>
    <t>General stores</t>
  </si>
  <si>
    <t>Other food stores (butcher, etc)</t>
  </si>
  <si>
    <t>Canned fruit [1]</t>
  </si>
  <si>
    <t xml:space="preserve">[1] </t>
  </si>
  <si>
    <t>Includes juices, jams, etc</t>
  </si>
  <si>
    <t>Peter Van der Heyden gives acreage of 6,700 for potatoes and market vegetables and 800 for fruit at the end of the 19th century, indicating an 8.375 ratio</t>
  </si>
  <si>
    <t>See note 1</t>
  </si>
  <si>
    <t>Note</t>
  </si>
  <si>
    <t>Made-up</t>
  </si>
  <si>
    <t>Butchery1945+Market1945</t>
  </si>
  <si>
    <t>Old distweight</t>
  </si>
  <si>
    <t>New crates/mo</t>
  </si>
  <si>
    <t>First report</t>
  </si>
  <si>
    <t>35.89 oz/head/week</t>
  </si>
  <si>
    <t>The 1960 food report gives fish consumption in "edible weight" as 26.2 lb/head/annum (or 8.03 oz/head/week), while the 1940 report appears to be working in "on the bone" weight at 13.9 oz/week</t>
  </si>
  <si>
    <t>This results in a conversion factor of 57.8% for converting the 1934-35 and 1909-13 statistics listed in the 1940 report.</t>
  </si>
  <si>
    <t>See note 3</t>
  </si>
  <si>
    <t>The 1960 food report gives meat consumption in "edible weight" as 116.5 lb/head/annum (35.7 oz/head/week), while the 1940 report gives apparently "on the bone" weight at 45 oz/head/week</t>
  </si>
  <si>
    <t>This results in a conversion factor of 79.3% for converting the 1934-35 and 1909-13 statistics.</t>
  </si>
  <si>
    <t>% match</t>
  </si>
  <si>
    <t>See note 4</t>
  </si>
  <si>
    <t>milk consumption = all dairy products (cheese, cream, etc) until modern processed dairy becomes a thing (1970 onwards - exclude cheese), in ounces</t>
  </si>
  <si>
    <t>Normalized:</t>
  </si>
  <si>
    <t>InputFactors</t>
  </si>
  <si>
    <t>vegetable</t>
  </si>
  <si>
    <t>Old crates/mo</t>
  </si>
  <si>
    <t>Old total consumption</t>
  </si>
  <si>
    <t>New total consumption</t>
  </si>
  <si>
    <t>Time period</t>
  </si>
  <si>
    <t>beer (at home)</t>
  </si>
  <si>
    <t>415 ml/head/week</t>
  </si>
  <si>
    <t>3 pints/head/week</t>
  </si>
  <si>
    <t>See note 5</t>
  </si>
  <si>
    <t>beer (at pubs)</t>
  </si>
  <si>
    <t>According to [source 3], expenditure of beer at pubs, etc in 2014 was $99m versus $54m for beer purchased at stores. If we assume a beer at a pub costs ~2x as much then that is ~380 ml/week</t>
  </si>
  <si>
    <t>Pub1750</t>
  </si>
  <si>
    <t>Pub1840</t>
  </si>
  <si>
    <t>Pub1910</t>
  </si>
  <si>
    <t>Pub1945</t>
  </si>
  <si>
    <t>Pub1975</t>
  </si>
  <si>
    <t>Pub1975+PetrolStation1975</t>
  </si>
  <si>
    <t>"Made-up" distribution weights were obtained by manually tweaking industries so that each successive industry in the chain generally had increased consumption.</t>
  </si>
  <si>
    <t>This is so that "upgrades" do not cause consumers to actually consume less - if overall consumption of a good goes down, this is instead handled by retirements,</t>
  </si>
  <si>
    <t>while it is assumed that over time shops generally handle more volume.</t>
  </si>
  <si>
    <t>Subtracted canned fruit, dried fruit, nuts (source 2 p.33)</t>
  </si>
  <si>
    <t>29.33 oz/man/week</t>
  </si>
  <si>
    <t>10.2 oz/man/week</t>
  </si>
  <si>
    <t>Ratio input:output</t>
  </si>
  <si>
    <t>% of crates</t>
  </si>
  <si>
    <t>Consumption 200(crate adjusted)</t>
  </si>
  <si>
    <t>crate adj.</t>
  </si>
  <si>
    <t>Also, adjust so that raw consumption refers to input material, and therefore if less material makes the same crates,more crates have to be consumed</t>
  </si>
  <si>
    <t>cider</t>
  </si>
  <si>
    <t>~20% as much as beer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</si>
</sst>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3">
    <border>
      <left/>
      <right/>
      <top/>
      <bottom/>
      <diagonal/>
    </border>
    <border>
      <left style="thin">
        <color auto="1"/>
      </left>
      <right/>
      <top/>
      <bottom/>
      <diagonal/>
    </border>
    <border>
      <left/>
      <right style="thin">
        <color auto="1"/>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1" fillId="0" borderId="0" xfId="0" applyFont="1" applyAlignment="1">
      <alignment horizontal="center"/>
    </xf>
    <xf numFmtId="0" fontId="0" fillId="0" borderId="0" xfId="0" applyAlignment="1">
      <alignment horizontal="left"/>
    </xf>
    <xf numFmtId="0" fontId="0" fillId="0" borderId="0" xfId="0" applyAlignment="1">
      <alignment horizontal="center"/>
    </xf>
    <xf numFmtId="0" fontId="0" fillId="0" borderId="0" xfId="0" applyAlignment="1">
      <alignment horizontal="right"/>
    </xf>
    <xf numFmtId="0" fontId="1" fillId="0" borderId="1" xfId="0" applyFont="1" applyBorder="1"/>
    <xf numFmtId="0" fontId="0" fillId="0" borderId="1" xfId="0" applyBorder="1"/>
    <xf numFmtId="0" fontId="1" fillId="0" borderId="0" xfId="0" applyFont="1" applyAlignment="1">
      <alignment horizontal="left"/>
    </xf>
    <xf numFmtId="0" fontId="0" fillId="0" borderId="2" xfId="0" applyBorder="1"/>
    <xf numFmtId="0" fontId="1" fillId="0" borderId="0" xfId="0" applyFont="1" applyAlignment="1">
      <alignment horizontal="center"/>
    </xf>
    <xf numFmtId="0" fontId="0" fillId="0" borderId="0" xfId="0" applyFont="1"/>
    <xf numFmtId="0" fontId="1" fillId="0" borderId="2"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OLD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'food summary'!$B$206</c:f>
              <c:strCache>
                <c:ptCount val="1"/>
                <c:pt idx="0">
                  <c:v>meat</c:v>
                </c:pt>
              </c:strCache>
            </c:strRef>
          </c:tx>
          <c:spPr>
            <a:ln w="19050" cap="rnd">
              <a:solidFill>
                <a:schemeClr val="accent1"/>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summary'!$B$207:$B$222</c:f>
              <c:numCache>
                <c:formatCode>General</c:formatCode>
                <c:ptCount val="16"/>
                <c:pt idx="0">
                  <c:v>96</c:v>
                </c:pt>
                <c:pt idx="1">
                  <c:v>96</c:v>
                </c:pt>
                <c:pt idx="2">
                  <c:v>144</c:v>
                </c:pt>
                <c:pt idx="3">
                  <c:v>235.2</c:v>
                </c:pt>
                <c:pt idx="4">
                  <c:v>235.2</c:v>
                </c:pt>
                <c:pt idx="5">
                  <c:v>235.2</c:v>
                </c:pt>
                <c:pt idx="6">
                  <c:v>187.6</c:v>
                </c:pt>
                <c:pt idx="7">
                  <c:v>177.36</c:v>
                </c:pt>
                <c:pt idx="8">
                  <c:v>111.36</c:v>
                </c:pt>
                <c:pt idx="9">
                  <c:v>138.24</c:v>
                </c:pt>
                <c:pt idx="10">
                  <c:v>200.96</c:v>
                </c:pt>
                <c:pt idx="11">
                  <c:v>89.600000000000009</c:v>
                </c:pt>
                <c:pt idx="12">
                  <c:v>62.720000000000006</c:v>
                </c:pt>
                <c:pt idx="13">
                  <c:v>209.72</c:v>
                </c:pt>
                <c:pt idx="14">
                  <c:v>209.72</c:v>
                </c:pt>
                <c:pt idx="15">
                  <c:v>220.5</c:v>
                </c:pt>
              </c:numCache>
            </c:numRef>
          </c:yVal>
          <c:smooth val="0"/>
          <c:extLst>
            <c:ext xmlns:c16="http://schemas.microsoft.com/office/drawing/2014/chart" uri="{C3380CC4-5D6E-409C-BE32-E72D297353CC}">
              <c16:uniqueId val="{00000000-4049-4FE4-A684-E1A7FC6E5074}"/>
            </c:ext>
          </c:extLst>
        </c:ser>
        <c:ser>
          <c:idx val="1"/>
          <c:order val="1"/>
          <c:tx>
            <c:strRef>
              <c:f>'food summary'!$C$206</c:f>
              <c:strCache>
                <c:ptCount val="1"/>
                <c:pt idx="0">
                  <c:v>milk</c:v>
                </c:pt>
              </c:strCache>
            </c:strRef>
          </c:tx>
          <c:spPr>
            <a:ln w="19050" cap="rnd">
              <a:solidFill>
                <a:schemeClr val="accent2"/>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summary'!$C$207:$C$222</c:f>
              <c:numCache>
                <c:formatCode>General</c:formatCode>
                <c:ptCount val="16"/>
                <c:pt idx="0">
                  <c:v>420</c:v>
                </c:pt>
                <c:pt idx="1">
                  <c:v>420</c:v>
                </c:pt>
                <c:pt idx="2">
                  <c:v>420</c:v>
                </c:pt>
                <c:pt idx="3">
                  <c:v>420</c:v>
                </c:pt>
                <c:pt idx="4">
                  <c:v>420</c:v>
                </c:pt>
                <c:pt idx="5">
                  <c:v>420</c:v>
                </c:pt>
                <c:pt idx="6">
                  <c:v>450</c:v>
                </c:pt>
                <c:pt idx="7">
                  <c:v>450</c:v>
                </c:pt>
                <c:pt idx="8">
                  <c:v>0</c:v>
                </c:pt>
                <c:pt idx="9">
                  <c:v>23.52</c:v>
                </c:pt>
                <c:pt idx="10">
                  <c:v>78.399999999999991</c:v>
                </c:pt>
                <c:pt idx="11">
                  <c:v>84.16</c:v>
                </c:pt>
                <c:pt idx="12">
                  <c:v>60.639999999999993</c:v>
                </c:pt>
                <c:pt idx="13">
                  <c:v>392.44</c:v>
                </c:pt>
                <c:pt idx="14">
                  <c:v>392.44</c:v>
                </c:pt>
                <c:pt idx="15">
                  <c:v>503.46000000000004</c:v>
                </c:pt>
              </c:numCache>
            </c:numRef>
          </c:yVal>
          <c:smooth val="0"/>
          <c:extLst>
            <c:ext xmlns:c16="http://schemas.microsoft.com/office/drawing/2014/chart" uri="{C3380CC4-5D6E-409C-BE32-E72D297353CC}">
              <c16:uniqueId val="{00000001-4049-4FE4-A684-E1A7FC6E5074}"/>
            </c:ext>
          </c:extLst>
        </c:ser>
        <c:ser>
          <c:idx val="2"/>
          <c:order val="2"/>
          <c:tx>
            <c:strRef>
              <c:f>'food summary'!$D$206</c:f>
              <c:strCache>
                <c:ptCount val="1"/>
                <c:pt idx="0">
                  <c:v>fish</c:v>
                </c:pt>
              </c:strCache>
            </c:strRef>
          </c:tx>
          <c:spPr>
            <a:ln w="19050" cap="rnd">
              <a:solidFill>
                <a:schemeClr val="accent3"/>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summary'!$D$207:$D$222</c:f>
              <c:numCache>
                <c:formatCode>General</c:formatCode>
                <c:ptCount val="16"/>
                <c:pt idx="0">
                  <c:v>18</c:v>
                </c:pt>
                <c:pt idx="1">
                  <c:v>18</c:v>
                </c:pt>
                <c:pt idx="2">
                  <c:v>26</c:v>
                </c:pt>
                <c:pt idx="3">
                  <c:v>41.599999999999994</c:v>
                </c:pt>
                <c:pt idx="4">
                  <c:v>41.599999999999994</c:v>
                </c:pt>
                <c:pt idx="5">
                  <c:v>41.599999999999994</c:v>
                </c:pt>
                <c:pt idx="6">
                  <c:v>64.8</c:v>
                </c:pt>
                <c:pt idx="7">
                  <c:v>62.88</c:v>
                </c:pt>
                <c:pt idx="8">
                  <c:v>32.880000000000003</c:v>
                </c:pt>
                <c:pt idx="9">
                  <c:v>37.92</c:v>
                </c:pt>
                <c:pt idx="10">
                  <c:v>49.68</c:v>
                </c:pt>
                <c:pt idx="11">
                  <c:v>46.8</c:v>
                </c:pt>
                <c:pt idx="12">
                  <c:v>41.76</c:v>
                </c:pt>
                <c:pt idx="13">
                  <c:v>66.960000000000008</c:v>
                </c:pt>
                <c:pt idx="14">
                  <c:v>66.960000000000008</c:v>
                </c:pt>
                <c:pt idx="15">
                  <c:v>67.8</c:v>
                </c:pt>
              </c:numCache>
            </c:numRef>
          </c:yVal>
          <c:smooth val="0"/>
          <c:extLst>
            <c:ext xmlns:c16="http://schemas.microsoft.com/office/drawing/2014/chart" uri="{C3380CC4-5D6E-409C-BE32-E72D297353CC}">
              <c16:uniqueId val="{00000002-4049-4FE4-A684-E1A7FC6E5074}"/>
            </c:ext>
          </c:extLst>
        </c:ser>
        <c:ser>
          <c:idx val="3"/>
          <c:order val="3"/>
          <c:tx>
            <c:strRef>
              <c:f>'food summary'!$E$206</c:f>
              <c:strCache>
                <c:ptCount val="1"/>
                <c:pt idx="0">
                  <c:v>flour</c:v>
                </c:pt>
              </c:strCache>
            </c:strRef>
          </c:tx>
          <c:spPr>
            <a:ln w="19050" cap="rnd">
              <a:solidFill>
                <a:schemeClr val="accent4"/>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summary'!$E$207:$E$222</c:f>
              <c:numCache>
                <c:formatCode>General</c:formatCode>
                <c:ptCount val="16"/>
                <c:pt idx="0">
                  <c:v>64</c:v>
                </c:pt>
                <c:pt idx="1">
                  <c:v>64</c:v>
                </c:pt>
                <c:pt idx="2">
                  <c:v>64</c:v>
                </c:pt>
                <c:pt idx="3">
                  <c:v>120</c:v>
                </c:pt>
                <c:pt idx="4">
                  <c:v>120</c:v>
                </c:pt>
                <c:pt idx="5">
                  <c:v>120</c:v>
                </c:pt>
                <c:pt idx="6">
                  <c:v>162</c:v>
                </c:pt>
                <c:pt idx="7">
                  <c:v>162</c:v>
                </c:pt>
                <c:pt idx="8">
                  <c:v>192</c:v>
                </c:pt>
                <c:pt idx="9">
                  <c:v>215.52</c:v>
                </c:pt>
                <c:pt idx="10">
                  <c:v>270.39999999999998</c:v>
                </c:pt>
                <c:pt idx="11">
                  <c:v>78.399999999999991</c:v>
                </c:pt>
                <c:pt idx="12">
                  <c:v>54.879999999999995</c:v>
                </c:pt>
                <c:pt idx="13">
                  <c:v>180.88</c:v>
                </c:pt>
                <c:pt idx="14">
                  <c:v>180.88</c:v>
                </c:pt>
                <c:pt idx="15">
                  <c:v>189</c:v>
                </c:pt>
              </c:numCache>
            </c:numRef>
          </c:yVal>
          <c:smooth val="0"/>
          <c:extLst>
            <c:ext xmlns:c16="http://schemas.microsoft.com/office/drawing/2014/chart" uri="{C3380CC4-5D6E-409C-BE32-E72D297353CC}">
              <c16:uniqueId val="{00000003-4049-4FE4-A684-E1A7FC6E5074}"/>
            </c:ext>
          </c:extLst>
        </c:ser>
        <c:ser>
          <c:idx val="4"/>
          <c:order val="4"/>
          <c:tx>
            <c:strRef>
              <c:f>'food summary'!$F$206</c:f>
              <c:strCache>
                <c:ptCount val="1"/>
                <c:pt idx="0">
                  <c:v>vegetable</c:v>
                </c:pt>
              </c:strCache>
            </c:strRef>
          </c:tx>
          <c:spPr>
            <a:ln w="19050" cap="rnd">
              <a:solidFill>
                <a:schemeClr val="accent5"/>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summary'!$F$207:$F$222</c:f>
              <c:numCache>
                <c:formatCode>General</c:formatCode>
                <c:ptCount val="16"/>
                <c:pt idx="0">
                  <c:v>186</c:v>
                </c:pt>
                <c:pt idx="1">
                  <c:v>186</c:v>
                </c:pt>
                <c:pt idx="2">
                  <c:v>240</c:v>
                </c:pt>
                <c:pt idx="3">
                  <c:v>331.2</c:v>
                </c:pt>
                <c:pt idx="4">
                  <c:v>331.2</c:v>
                </c:pt>
                <c:pt idx="5">
                  <c:v>331.2</c:v>
                </c:pt>
                <c:pt idx="6">
                  <c:v>210.4</c:v>
                </c:pt>
                <c:pt idx="7">
                  <c:v>190.56</c:v>
                </c:pt>
                <c:pt idx="8">
                  <c:v>150.35999999999999</c:v>
                </c:pt>
                <c:pt idx="9">
                  <c:v>202.44</c:v>
                </c:pt>
                <c:pt idx="10">
                  <c:v>323.95999999999998</c:v>
                </c:pt>
                <c:pt idx="11">
                  <c:v>294.2</c:v>
                </c:pt>
                <c:pt idx="12">
                  <c:v>242.12</c:v>
                </c:pt>
                <c:pt idx="13">
                  <c:v>422.72</c:v>
                </c:pt>
                <c:pt idx="14">
                  <c:v>302.12</c:v>
                </c:pt>
                <c:pt idx="15">
                  <c:v>270.89999999999998</c:v>
                </c:pt>
              </c:numCache>
            </c:numRef>
          </c:yVal>
          <c:smooth val="0"/>
          <c:extLst>
            <c:ext xmlns:c16="http://schemas.microsoft.com/office/drawing/2014/chart" uri="{C3380CC4-5D6E-409C-BE32-E72D297353CC}">
              <c16:uniqueId val="{00000004-4049-4FE4-A684-E1A7FC6E5074}"/>
            </c:ext>
          </c:extLst>
        </c:ser>
        <c:ser>
          <c:idx val="5"/>
          <c:order val="5"/>
          <c:tx>
            <c:strRef>
              <c:f>'food summary'!$G$206</c:f>
              <c:strCache>
                <c:ptCount val="1"/>
                <c:pt idx="0">
                  <c:v>fruit</c:v>
                </c:pt>
              </c:strCache>
            </c:strRef>
          </c:tx>
          <c:spPr>
            <a:ln w="19050" cap="rnd">
              <a:solidFill>
                <a:schemeClr val="accent6"/>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summary'!$G$207:$G$222</c:f>
              <c:numCache>
                <c:formatCode>General</c:formatCode>
                <c:ptCount val="16"/>
                <c:pt idx="0">
                  <c:v>96</c:v>
                </c:pt>
                <c:pt idx="1">
                  <c:v>96</c:v>
                </c:pt>
                <c:pt idx="2">
                  <c:v>150</c:v>
                </c:pt>
                <c:pt idx="3">
                  <c:v>259.2</c:v>
                </c:pt>
                <c:pt idx="4">
                  <c:v>259.2</c:v>
                </c:pt>
                <c:pt idx="5">
                  <c:v>259.2</c:v>
                </c:pt>
                <c:pt idx="6">
                  <c:v>265.60000000000002</c:v>
                </c:pt>
                <c:pt idx="7">
                  <c:v>255.36</c:v>
                </c:pt>
                <c:pt idx="8">
                  <c:v>195.36</c:v>
                </c:pt>
                <c:pt idx="9">
                  <c:v>222.24</c:v>
                </c:pt>
                <c:pt idx="10">
                  <c:v>284.96000000000004</c:v>
                </c:pt>
                <c:pt idx="11">
                  <c:v>269.60000000000002</c:v>
                </c:pt>
                <c:pt idx="12">
                  <c:v>242.72</c:v>
                </c:pt>
                <c:pt idx="13">
                  <c:v>305.72000000000003</c:v>
                </c:pt>
                <c:pt idx="14">
                  <c:v>125.72</c:v>
                </c:pt>
                <c:pt idx="15">
                  <c:v>94.5</c:v>
                </c:pt>
              </c:numCache>
            </c:numRef>
          </c:yVal>
          <c:smooth val="0"/>
          <c:extLst>
            <c:ext xmlns:c16="http://schemas.microsoft.com/office/drawing/2014/chart" uri="{C3380CC4-5D6E-409C-BE32-E72D297353CC}">
              <c16:uniqueId val="{00000005-4049-4FE4-A684-E1A7FC6E5074}"/>
            </c:ext>
          </c:extLst>
        </c:ser>
        <c:ser>
          <c:idx val="6"/>
          <c:order val="6"/>
          <c:tx>
            <c:strRef>
              <c:f>'food summary'!$H$206</c:f>
              <c:strCache>
                <c:ptCount val="1"/>
                <c:pt idx="0">
                  <c:v>canned</c:v>
                </c:pt>
              </c:strCache>
            </c:strRef>
          </c:tx>
          <c:spPr>
            <a:ln w="19050" cap="rnd">
              <a:solidFill>
                <a:schemeClr val="accent1">
                  <a:lumMod val="60000"/>
                </a:schemeClr>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summary'!$H$207:$H$222</c:f>
              <c:numCache>
                <c:formatCode>General</c:formatCode>
                <c:ptCount val="16"/>
                <c:pt idx="0">
                  <c:v>0</c:v>
                </c:pt>
                <c:pt idx="1">
                  <c:v>21.12</c:v>
                </c:pt>
                <c:pt idx="2">
                  <c:v>21.12</c:v>
                </c:pt>
                <c:pt idx="3">
                  <c:v>21.12</c:v>
                </c:pt>
                <c:pt idx="4">
                  <c:v>73.92</c:v>
                </c:pt>
                <c:pt idx="5">
                  <c:v>237.60000000000002</c:v>
                </c:pt>
                <c:pt idx="6">
                  <c:v>237.60000000000002</c:v>
                </c:pt>
                <c:pt idx="7">
                  <c:v>237.60000000000002</c:v>
                </c:pt>
                <c:pt idx="8">
                  <c:v>126.72</c:v>
                </c:pt>
                <c:pt idx="9">
                  <c:v>160.32</c:v>
                </c:pt>
                <c:pt idx="10">
                  <c:v>238.71999999999997</c:v>
                </c:pt>
                <c:pt idx="11">
                  <c:v>177.92</c:v>
                </c:pt>
                <c:pt idx="12">
                  <c:v>144.32</c:v>
                </c:pt>
                <c:pt idx="13">
                  <c:v>215.72</c:v>
                </c:pt>
                <c:pt idx="14">
                  <c:v>215.72</c:v>
                </c:pt>
                <c:pt idx="15">
                  <c:v>173.01999999999998</c:v>
                </c:pt>
              </c:numCache>
            </c:numRef>
          </c:yVal>
          <c:smooth val="0"/>
          <c:extLst>
            <c:ext xmlns:c16="http://schemas.microsoft.com/office/drawing/2014/chart" uri="{C3380CC4-5D6E-409C-BE32-E72D297353CC}">
              <c16:uniqueId val="{00000006-4049-4FE4-A684-E1A7FC6E5074}"/>
            </c:ext>
          </c:extLst>
        </c:ser>
        <c:ser>
          <c:idx val="7"/>
          <c:order val="7"/>
          <c:tx>
            <c:strRef>
              <c:f>'food summary'!$I$206</c:f>
              <c:strCache>
                <c:ptCount val="1"/>
                <c:pt idx="0">
                  <c:v>beer</c:v>
                </c:pt>
              </c:strCache>
            </c:strRef>
          </c:tx>
          <c:spPr>
            <a:ln w="19050" cap="rnd">
              <a:solidFill>
                <a:schemeClr val="accent2">
                  <a:lumMod val="60000"/>
                </a:schemeClr>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summary'!$I$207:$I$222</c:f>
              <c:numCache>
                <c:formatCode>General</c:formatCode>
                <c:ptCount val="16"/>
                <c:pt idx="0">
                  <c:v>64.320000000000007</c:v>
                </c:pt>
                <c:pt idx="1">
                  <c:v>64.320000000000007</c:v>
                </c:pt>
                <c:pt idx="2">
                  <c:v>64.320000000000007</c:v>
                </c:pt>
                <c:pt idx="3">
                  <c:v>288</c:v>
                </c:pt>
                <c:pt idx="4">
                  <c:v>288</c:v>
                </c:pt>
                <c:pt idx="5">
                  <c:v>288</c:v>
                </c:pt>
                <c:pt idx="6">
                  <c:v>324</c:v>
                </c:pt>
                <c:pt idx="7">
                  <c:v>324</c:v>
                </c:pt>
                <c:pt idx="8">
                  <c:v>336</c:v>
                </c:pt>
                <c:pt idx="9">
                  <c:v>336</c:v>
                </c:pt>
                <c:pt idx="10">
                  <c:v>336</c:v>
                </c:pt>
                <c:pt idx="11">
                  <c:v>57.92</c:v>
                </c:pt>
                <c:pt idx="12">
                  <c:v>57.92</c:v>
                </c:pt>
                <c:pt idx="13">
                  <c:v>87.32</c:v>
                </c:pt>
                <c:pt idx="14">
                  <c:v>87.32</c:v>
                </c:pt>
                <c:pt idx="15">
                  <c:v>102.02000000000001</c:v>
                </c:pt>
              </c:numCache>
            </c:numRef>
          </c:yVal>
          <c:smooth val="0"/>
          <c:extLst>
            <c:ext xmlns:c16="http://schemas.microsoft.com/office/drawing/2014/chart" uri="{C3380CC4-5D6E-409C-BE32-E72D297353CC}">
              <c16:uniqueId val="{00000007-4049-4FE4-A684-E1A7FC6E5074}"/>
            </c:ext>
          </c:extLst>
        </c:ser>
        <c:ser>
          <c:idx val="8"/>
          <c:order val="8"/>
          <c:tx>
            <c:strRef>
              <c:f>'food summary'!$J$206</c:f>
              <c:strCache>
                <c:ptCount val="1"/>
                <c:pt idx="0">
                  <c:v>TOTAL</c:v>
                </c:pt>
              </c:strCache>
            </c:strRef>
          </c:tx>
          <c:spPr>
            <a:ln w="19050" cap="rnd">
              <a:solidFill>
                <a:schemeClr val="accent3">
                  <a:lumMod val="60000"/>
                </a:schemeClr>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summary'!$J$207:$J$222</c:f>
              <c:numCache>
                <c:formatCode>General</c:formatCode>
                <c:ptCount val="16"/>
                <c:pt idx="0">
                  <c:v>944.32</c:v>
                </c:pt>
                <c:pt idx="1">
                  <c:v>965.44</c:v>
                </c:pt>
                <c:pt idx="2">
                  <c:v>1129.4399999999998</c:v>
                </c:pt>
                <c:pt idx="3">
                  <c:v>1716.32</c:v>
                </c:pt>
                <c:pt idx="4">
                  <c:v>1769.1200000000001</c:v>
                </c:pt>
                <c:pt idx="5">
                  <c:v>1932.8000000000002</c:v>
                </c:pt>
                <c:pt idx="6">
                  <c:v>1902</c:v>
                </c:pt>
                <c:pt idx="7">
                  <c:v>1859.7599999999998</c:v>
                </c:pt>
                <c:pt idx="8">
                  <c:v>1144.68</c:v>
                </c:pt>
                <c:pt idx="9">
                  <c:v>1336.2</c:v>
                </c:pt>
                <c:pt idx="10">
                  <c:v>1783.0800000000002</c:v>
                </c:pt>
                <c:pt idx="11">
                  <c:v>1098.6000000000001</c:v>
                </c:pt>
                <c:pt idx="12">
                  <c:v>907.08</c:v>
                </c:pt>
                <c:pt idx="13">
                  <c:v>1881.48</c:v>
                </c:pt>
                <c:pt idx="14">
                  <c:v>1580.8799999999999</c:v>
                </c:pt>
                <c:pt idx="15">
                  <c:v>1621.1999999999998</c:v>
                </c:pt>
              </c:numCache>
            </c:numRef>
          </c:yVal>
          <c:smooth val="0"/>
          <c:extLst>
            <c:ext xmlns:c16="http://schemas.microsoft.com/office/drawing/2014/chart" uri="{C3380CC4-5D6E-409C-BE32-E72D297353CC}">
              <c16:uniqueId val="{00000000-351F-4244-9165-1C95832E9058}"/>
            </c:ext>
          </c:extLst>
        </c:ser>
        <c:dLbls>
          <c:showLegendKey val="0"/>
          <c:showVal val="0"/>
          <c:showCatName val="0"/>
          <c:showSerName val="0"/>
          <c:showPercent val="0"/>
          <c:showBubbleSize val="0"/>
        </c:dLbls>
        <c:axId val="634286224"/>
        <c:axId val="389086736"/>
      </c:scatterChart>
      <c:valAx>
        <c:axId val="634286224"/>
        <c:scaling>
          <c:orientation val="minMax"/>
          <c:max val="2000"/>
          <c:min val="175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086736"/>
        <c:crosses val="autoZero"/>
        <c:crossBetween val="midCat"/>
      </c:valAx>
      <c:valAx>
        <c:axId val="389086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42862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NEW</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'food summary'!$K$206</c:f>
              <c:strCache>
                <c:ptCount val="1"/>
                <c:pt idx="0">
                  <c:v>meat</c:v>
                </c:pt>
              </c:strCache>
            </c:strRef>
          </c:tx>
          <c:spPr>
            <a:ln w="19050" cap="rnd">
              <a:solidFill>
                <a:schemeClr val="accent1"/>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summary'!$K$207:$K$222</c:f>
              <c:numCache>
                <c:formatCode>General</c:formatCode>
                <c:ptCount val="16"/>
                <c:pt idx="0">
                  <c:v>151.68</c:v>
                </c:pt>
                <c:pt idx="1">
                  <c:v>151.68</c:v>
                </c:pt>
                <c:pt idx="2">
                  <c:v>182.4</c:v>
                </c:pt>
                <c:pt idx="3">
                  <c:v>228.16</c:v>
                </c:pt>
                <c:pt idx="4">
                  <c:v>228.16</c:v>
                </c:pt>
                <c:pt idx="5">
                  <c:v>228.16</c:v>
                </c:pt>
                <c:pt idx="6">
                  <c:v>214.39999999999998</c:v>
                </c:pt>
                <c:pt idx="7">
                  <c:v>211.39999999999998</c:v>
                </c:pt>
                <c:pt idx="8">
                  <c:v>191.4</c:v>
                </c:pt>
                <c:pt idx="9">
                  <c:v>206.52</c:v>
                </c:pt>
                <c:pt idx="10">
                  <c:v>431.48</c:v>
                </c:pt>
                <c:pt idx="11">
                  <c:v>240.08</c:v>
                </c:pt>
                <c:pt idx="12">
                  <c:v>224.96</c:v>
                </c:pt>
                <c:pt idx="13">
                  <c:v>374.56000000000006</c:v>
                </c:pt>
                <c:pt idx="14">
                  <c:v>374.56000000000006</c:v>
                </c:pt>
                <c:pt idx="15">
                  <c:v>223.40000000000003</c:v>
                </c:pt>
              </c:numCache>
            </c:numRef>
          </c:yVal>
          <c:smooth val="0"/>
          <c:extLst>
            <c:ext xmlns:c16="http://schemas.microsoft.com/office/drawing/2014/chart" uri="{C3380CC4-5D6E-409C-BE32-E72D297353CC}">
              <c16:uniqueId val="{00000000-A9BC-40E5-AC79-D8910D73355F}"/>
            </c:ext>
          </c:extLst>
        </c:ser>
        <c:ser>
          <c:idx val="1"/>
          <c:order val="1"/>
          <c:tx>
            <c:strRef>
              <c:f>'food summary'!$L$206</c:f>
              <c:strCache>
                <c:ptCount val="1"/>
                <c:pt idx="0">
                  <c:v>milk</c:v>
                </c:pt>
              </c:strCache>
            </c:strRef>
          </c:tx>
          <c:spPr>
            <a:ln w="19050" cap="rnd">
              <a:solidFill>
                <a:schemeClr val="accent2"/>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summary'!$L$207:$L$222</c:f>
              <c:numCache>
                <c:formatCode>General</c:formatCode>
                <c:ptCount val="16"/>
                <c:pt idx="0">
                  <c:v>138</c:v>
                </c:pt>
                <c:pt idx="1">
                  <c:v>138</c:v>
                </c:pt>
                <c:pt idx="2">
                  <c:v>138</c:v>
                </c:pt>
                <c:pt idx="3">
                  <c:v>249.60000000000002</c:v>
                </c:pt>
                <c:pt idx="4">
                  <c:v>249.60000000000002</c:v>
                </c:pt>
                <c:pt idx="5">
                  <c:v>249.60000000000002</c:v>
                </c:pt>
                <c:pt idx="6">
                  <c:v>439.20000000000005</c:v>
                </c:pt>
                <c:pt idx="7">
                  <c:v>439.20000000000005</c:v>
                </c:pt>
                <c:pt idx="8">
                  <c:v>0</c:v>
                </c:pt>
                <c:pt idx="9">
                  <c:v>35.28</c:v>
                </c:pt>
                <c:pt idx="10">
                  <c:v>612.88</c:v>
                </c:pt>
                <c:pt idx="11">
                  <c:v>646.72</c:v>
                </c:pt>
                <c:pt idx="12">
                  <c:v>611.44000000000005</c:v>
                </c:pt>
                <c:pt idx="13">
                  <c:v>954.84000000000015</c:v>
                </c:pt>
                <c:pt idx="14">
                  <c:v>954.84000000000015</c:v>
                </c:pt>
                <c:pt idx="15">
                  <c:v>542.84</c:v>
                </c:pt>
              </c:numCache>
            </c:numRef>
          </c:yVal>
          <c:smooth val="0"/>
          <c:extLst>
            <c:ext xmlns:c16="http://schemas.microsoft.com/office/drawing/2014/chart" uri="{C3380CC4-5D6E-409C-BE32-E72D297353CC}">
              <c16:uniqueId val="{00000001-A9BC-40E5-AC79-D8910D73355F}"/>
            </c:ext>
          </c:extLst>
        </c:ser>
        <c:ser>
          <c:idx val="2"/>
          <c:order val="2"/>
          <c:tx>
            <c:strRef>
              <c:f>'food summary'!$M$206</c:f>
              <c:strCache>
                <c:ptCount val="1"/>
                <c:pt idx="0">
                  <c:v>fish</c:v>
                </c:pt>
              </c:strCache>
            </c:strRef>
          </c:tx>
          <c:spPr>
            <a:ln w="19050" cap="rnd">
              <a:solidFill>
                <a:schemeClr val="accent3"/>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summary'!$M$207:$M$222</c:f>
              <c:numCache>
                <c:formatCode>General</c:formatCode>
                <c:ptCount val="16"/>
                <c:pt idx="0">
                  <c:v>46.08</c:v>
                </c:pt>
                <c:pt idx="1">
                  <c:v>46.08</c:v>
                </c:pt>
                <c:pt idx="2">
                  <c:v>56.76</c:v>
                </c:pt>
                <c:pt idx="3">
                  <c:v>73.599999999999994</c:v>
                </c:pt>
                <c:pt idx="4">
                  <c:v>73.599999999999994</c:v>
                </c:pt>
                <c:pt idx="5">
                  <c:v>73.599999999999994</c:v>
                </c:pt>
                <c:pt idx="6">
                  <c:v>92.800000000000011</c:v>
                </c:pt>
                <c:pt idx="7">
                  <c:v>96.800000000000011</c:v>
                </c:pt>
                <c:pt idx="8">
                  <c:v>52.800000000000004</c:v>
                </c:pt>
                <c:pt idx="9">
                  <c:v>59.64</c:v>
                </c:pt>
                <c:pt idx="10">
                  <c:v>77.88</c:v>
                </c:pt>
                <c:pt idx="11">
                  <c:v>66.680000000000007</c:v>
                </c:pt>
                <c:pt idx="12">
                  <c:v>59.84</c:v>
                </c:pt>
                <c:pt idx="13">
                  <c:v>83.639999999999986</c:v>
                </c:pt>
                <c:pt idx="14">
                  <c:v>83.639999999999986</c:v>
                </c:pt>
                <c:pt idx="15">
                  <c:v>78</c:v>
                </c:pt>
              </c:numCache>
            </c:numRef>
          </c:yVal>
          <c:smooth val="0"/>
          <c:extLst>
            <c:ext xmlns:c16="http://schemas.microsoft.com/office/drawing/2014/chart" uri="{C3380CC4-5D6E-409C-BE32-E72D297353CC}">
              <c16:uniqueId val="{00000002-A9BC-40E5-AC79-D8910D73355F}"/>
            </c:ext>
          </c:extLst>
        </c:ser>
        <c:ser>
          <c:idx val="3"/>
          <c:order val="3"/>
          <c:tx>
            <c:strRef>
              <c:f>'food summary'!$N$206</c:f>
              <c:strCache>
                <c:ptCount val="1"/>
                <c:pt idx="0">
                  <c:v>flour</c:v>
                </c:pt>
              </c:strCache>
            </c:strRef>
          </c:tx>
          <c:spPr>
            <a:ln w="19050" cap="rnd">
              <a:solidFill>
                <a:schemeClr val="accent4"/>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summary'!$N$207:$N$222</c:f>
              <c:numCache>
                <c:formatCode>General</c:formatCode>
                <c:ptCount val="16"/>
                <c:pt idx="0">
                  <c:v>403.2</c:v>
                </c:pt>
                <c:pt idx="1">
                  <c:v>403.2</c:v>
                </c:pt>
                <c:pt idx="2">
                  <c:v>403.2</c:v>
                </c:pt>
                <c:pt idx="3">
                  <c:v>337.91999999999996</c:v>
                </c:pt>
                <c:pt idx="4">
                  <c:v>337.91999999999996</c:v>
                </c:pt>
                <c:pt idx="5">
                  <c:v>337.91999999999996</c:v>
                </c:pt>
                <c:pt idx="6">
                  <c:v>198.88</c:v>
                </c:pt>
                <c:pt idx="7">
                  <c:v>198.88</c:v>
                </c:pt>
                <c:pt idx="8">
                  <c:v>169.6</c:v>
                </c:pt>
                <c:pt idx="9">
                  <c:v>175.72</c:v>
                </c:pt>
                <c:pt idx="10">
                  <c:v>303.39999999999998</c:v>
                </c:pt>
                <c:pt idx="11">
                  <c:v>133.79999999999998</c:v>
                </c:pt>
                <c:pt idx="12">
                  <c:v>127.67999999999999</c:v>
                </c:pt>
                <c:pt idx="13">
                  <c:v>253.48</c:v>
                </c:pt>
                <c:pt idx="14">
                  <c:v>253.48</c:v>
                </c:pt>
                <c:pt idx="15">
                  <c:v>188.8</c:v>
                </c:pt>
              </c:numCache>
            </c:numRef>
          </c:yVal>
          <c:smooth val="0"/>
          <c:extLst>
            <c:ext xmlns:c16="http://schemas.microsoft.com/office/drawing/2014/chart" uri="{C3380CC4-5D6E-409C-BE32-E72D297353CC}">
              <c16:uniqueId val="{00000003-A9BC-40E5-AC79-D8910D73355F}"/>
            </c:ext>
          </c:extLst>
        </c:ser>
        <c:ser>
          <c:idx val="4"/>
          <c:order val="4"/>
          <c:tx>
            <c:strRef>
              <c:f>'food summary'!$O$206</c:f>
              <c:strCache>
                <c:ptCount val="1"/>
                <c:pt idx="0">
                  <c:v>vegetable</c:v>
                </c:pt>
              </c:strCache>
            </c:strRef>
          </c:tx>
          <c:spPr>
            <a:ln w="19050" cap="rnd">
              <a:solidFill>
                <a:schemeClr val="accent5"/>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summary'!$O$207:$O$222</c:f>
              <c:numCache>
                <c:formatCode>General</c:formatCode>
                <c:ptCount val="16"/>
                <c:pt idx="0">
                  <c:v>55.679999999999993</c:v>
                </c:pt>
                <c:pt idx="1">
                  <c:v>55.679999999999993</c:v>
                </c:pt>
                <c:pt idx="2">
                  <c:v>146.32</c:v>
                </c:pt>
                <c:pt idx="3">
                  <c:v>260.95999999999998</c:v>
                </c:pt>
                <c:pt idx="4">
                  <c:v>260.95999999999998</c:v>
                </c:pt>
                <c:pt idx="5">
                  <c:v>260.95999999999998</c:v>
                </c:pt>
                <c:pt idx="6">
                  <c:v>364.6</c:v>
                </c:pt>
                <c:pt idx="7">
                  <c:v>354.5</c:v>
                </c:pt>
                <c:pt idx="8">
                  <c:v>196.3</c:v>
                </c:pt>
                <c:pt idx="9">
                  <c:v>246.34</c:v>
                </c:pt>
                <c:pt idx="10">
                  <c:v>374.02</c:v>
                </c:pt>
                <c:pt idx="11">
                  <c:v>297.72000000000003</c:v>
                </c:pt>
                <c:pt idx="12">
                  <c:v>247.68</c:v>
                </c:pt>
                <c:pt idx="13">
                  <c:v>431.28</c:v>
                </c:pt>
                <c:pt idx="14">
                  <c:v>311.27999999999997</c:v>
                </c:pt>
                <c:pt idx="15">
                  <c:v>273.60000000000002</c:v>
                </c:pt>
              </c:numCache>
            </c:numRef>
          </c:yVal>
          <c:smooth val="0"/>
          <c:extLst>
            <c:ext xmlns:c16="http://schemas.microsoft.com/office/drawing/2014/chart" uri="{C3380CC4-5D6E-409C-BE32-E72D297353CC}">
              <c16:uniqueId val="{00000004-A9BC-40E5-AC79-D8910D73355F}"/>
            </c:ext>
          </c:extLst>
        </c:ser>
        <c:ser>
          <c:idx val="5"/>
          <c:order val="5"/>
          <c:tx>
            <c:strRef>
              <c:f>'food summary'!$P$206</c:f>
              <c:strCache>
                <c:ptCount val="1"/>
                <c:pt idx="0">
                  <c:v>fruit</c:v>
                </c:pt>
              </c:strCache>
            </c:strRef>
          </c:tx>
          <c:spPr>
            <a:ln w="19050" cap="rnd">
              <a:solidFill>
                <a:schemeClr val="accent6"/>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summary'!$P$207:$P$222</c:f>
              <c:numCache>
                <c:formatCode>General</c:formatCode>
                <c:ptCount val="16"/>
                <c:pt idx="0">
                  <c:v>30.72</c:v>
                </c:pt>
                <c:pt idx="1">
                  <c:v>30.72</c:v>
                </c:pt>
                <c:pt idx="2">
                  <c:v>45.68</c:v>
                </c:pt>
                <c:pt idx="3">
                  <c:v>54.96</c:v>
                </c:pt>
                <c:pt idx="4">
                  <c:v>54.96</c:v>
                </c:pt>
                <c:pt idx="5">
                  <c:v>54.96</c:v>
                </c:pt>
                <c:pt idx="6">
                  <c:v>92</c:v>
                </c:pt>
                <c:pt idx="7">
                  <c:v>95.8</c:v>
                </c:pt>
                <c:pt idx="8">
                  <c:v>65.400000000000006</c:v>
                </c:pt>
                <c:pt idx="9">
                  <c:v>73.320000000000007</c:v>
                </c:pt>
                <c:pt idx="10">
                  <c:v>91.56</c:v>
                </c:pt>
                <c:pt idx="11">
                  <c:v>78.960000000000008</c:v>
                </c:pt>
                <c:pt idx="12">
                  <c:v>71.040000000000006</c:v>
                </c:pt>
                <c:pt idx="13">
                  <c:v>132.24</c:v>
                </c:pt>
                <c:pt idx="14">
                  <c:v>79.44</c:v>
                </c:pt>
                <c:pt idx="15">
                  <c:v>93.600000000000009</c:v>
                </c:pt>
              </c:numCache>
            </c:numRef>
          </c:yVal>
          <c:smooth val="0"/>
          <c:extLst>
            <c:ext xmlns:c16="http://schemas.microsoft.com/office/drawing/2014/chart" uri="{C3380CC4-5D6E-409C-BE32-E72D297353CC}">
              <c16:uniqueId val="{00000005-A9BC-40E5-AC79-D8910D73355F}"/>
            </c:ext>
          </c:extLst>
        </c:ser>
        <c:ser>
          <c:idx val="6"/>
          <c:order val="6"/>
          <c:tx>
            <c:strRef>
              <c:f>'food summary'!$Q$206</c:f>
              <c:strCache>
                <c:ptCount val="1"/>
                <c:pt idx="0">
                  <c:v>canned</c:v>
                </c:pt>
              </c:strCache>
            </c:strRef>
          </c:tx>
          <c:spPr>
            <a:ln w="19050" cap="rnd">
              <a:solidFill>
                <a:schemeClr val="accent1">
                  <a:lumMod val="60000"/>
                </a:schemeClr>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summary'!$Q$207:$Q$222</c:f>
              <c:numCache>
                <c:formatCode>General</c:formatCode>
                <c:ptCount val="16"/>
                <c:pt idx="0">
                  <c:v>0</c:v>
                </c:pt>
                <c:pt idx="1">
                  <c:v>9.36</c:v>
                </c:pt>
                <c:pt idx="2">
                  <c:v>9.36</c:v>
                </c:pt>
                <c:pt idx="3">
                  <c:v>9.36</c:v>
                </c:pt>
                <c:pt idx="4">
                  <c:v>26.400000000000002</c:v>
                </c:pt>
                <c:pt idx="5">
                  <c:v>42.419999999999995</c:v>
                </c:pt>
                <c:pt idx="6">
                  <c:v>42.419999999999995</c:v>
                </c:pt>
                <c:pt idx="7">
                  <c:v>42.419999999999995</c:v>
                </c:pt>
                <c:pt idx="8">
                  <c:v>50.88</c:v>
                </c:pt>
                <c:pt idx="9">
                  <c:v>68.52000000000001</c:v>
                </c:pt>
                <c:pt idx="10">
                  <c:v>141.48000000000002</c:v>
                </c:pt>
                <c:pt idx="11">
                  <c:v>143.88</c:v>
                </c:pt>
                <c:pt idx="12">
                  <c:v>126.24</c:v>
                </c:pt>
                <c:pt idx="13">
                  <c:v>197.64</c:v>
                </c:pt>
                <c:pt idx="14">
                  <c:v>197.64</c:v>
                </c:pt>
                <c:pt idx="15">
                  <c:v>167.88</c:v>
                </c:pt>
              </c:numCache>
            </c:numRef>
          </c:yVal>
          <c:smooth val="0"/>
          <c:extLst>
            <c:ext xmlns:c16="http://schemas.microsoft.com/office/drawing/2014/chart" uri="{C3380CC4-5D6E-409C-BE32-E72D297353CC}">
              <c16:uniqueId val="{00000006-A9BC-40E5-AC79-D8910D73355F}"/>
            </c:ext>
          </c:extLst>
        </c:ser>
        <c:ser>
          <c:idx val="7"/>
          <c:order val="7"/>
          <c:tx>
            <c:strRef>
              <c:f>'food summary'!$R$206</c:f>
              <c:strCache>
                <c:ptCount val="1"/>
                <c:pt idx="0">
                  <c:v>beer</c:v>
                </c:pt>
              </c:strCache>
            </c:strRef>
          </c:tx>
          <c:spPr>
            <a:ln w="19050" cap="rnd">
              <a:solidFill>
                <a:schemeClr val="accent2">
                  <a:lumMod val="60000"/>
                </a:schemeClr>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summary'!$R$207:$R$222</c:f>
              <c:numCache>
                <c:formatCode>General</c:formatCode>
                <c:ptCount val="16"/>
                <c:pt idx="0">
                  <c:v>346.08</c:v>
                </c:pt>
                <c:pt idx="1">
                  <c:v>346.08</c:v>
                </c:pt>
                <c:pt idx="2">
                  <c:v>346.08</c:v>
                </c:pt>
                <c:pt idx="3">
                  <c:v>267.52</c:v>
                </c:pt>
                <c:pt idx="4">
                  <c:v>267.52</c:v>
                </c:pt>
                <c:pt idx="5">
                  <c:v>267.52</c:v>
                </c:pt>
                <c:pt idx="6">
                  <c:v>217.8</c:v>
                </c:pt>
                <c:pt idx="7">
                  <c:v>217.8</c:v>
                </c:pt>
                <c:pt idx="8">
                  <c:v>178.5</c:v>
                </c:pt>
                <c:pt idx="9">
                  <c:v>178.5</c:v>
                </c:pt>
                <c:pt idx="10">
                  <c:v>178.5</c:v>
                </c:pt>
                <c:pt idx="11">
                  <c:v>59.76</c:v>
                </c:pt>
                <c:pt idx="12">
                  <c:v>59.76</c:v>
                </c:pt>
                <c:pt idx="13">
                  <c:v>90.36</c:v>
                </c:pt>
                <c:pt idx="14">
                  <c:v>90.36</c:v>
                </c:pt>
                <c:pt idx="15">
                  <c:v>104.75999999999999</c:v>
                </c:pt>
              </c:numCache>
            </c:numRef>
          </c:yVal>
          <c:smooth val="0"/>
          <c:extLst>
            <c:ext xmlns:c16="http://schemas.microsoft.com/office/drawing/2014/chart" uri="{C3380CC4-5D6E-409C-BE32-E72D297353CC}">
              <c16:uniqueId val="{00000007-A9BC-40E5-AC79-D8910D73355F}"/>
            </c:ext>
          </c:extLst>
        </c:ser>
        <c:ser>
          <c:idx val="8"/>
          <c:order val="8"/>
          <c:tx>
            <c:strRef>
              <c:f>'food summary'!$S$206</c:f>
              <c:strCache>
                <c:ptCount val="1"/>
                <c:pt idx="0">
                  <c:v>TOTAL</c:v>
                </c:pt>
              </c:strCache>
            </c:strRef>
          </c:tx>
          <c:spPr>
            <a:ln w="19050" cap="rnd">
              <a:solidFill>
                <a:schemeClr val="accent3">
                  <a:lumMod val="60000"/>
                </a:schemeClr>
              </a:solidFill>
              <a:round/>
            </a:ln>
            <a:effectLst/>
          </c:spPr>
          <c:marker>
            <c:symbol val="none"/>
          </c:marker>
          <c:xVal>
            <c:numRef>
              <c:f>'food summary'!$A$207:$A$222</c:f>
              <c:numCache>
                <c:formatCode>General</c:formatCode>
                <c:ptCount val="16"/>
                <c:pt idx="0">
                  <c:v>1750</c:v>
                </c:pt>
                <c:pt idx="1">
                  <c:v>1810</c:v>
                </c:pt>
                <c:pt idx="2">
                  <c:v>1820</c:v>
                </c:pt>
                <c:pt idx="3">
                  <c:v>1840</c:v>
                </c:pt>
                <c:pt idx="4">
                  <c:v>1860</c:v>
                </c:pt>
                <c:pt idx="5">
                  <c:v>1900</c:v>
                </c:pt>
                <c:pt idx="6">
                  <c:v>1910</c:v>
                </c:pt>
                <c:pt idx="7">
                  <c:v>1944</c:v>
                </c:pt>
                <c:pt idx="8">
                  <c:v>1945</c:v>
                </c:pt>
                <c:pt idx="9">
                  <c:v>1950</c:v>
                </c:pt>
                <c:pt idx="10">
                  <c:v>1960</c:v>
                </c:pt>
                <c:pt idx="11">
                  <c:v>1975</c:v>
                </c:pt>
                <c:pt idx="12">
                  <c:v>1983</c:v>
                </c:pt>
                <c:pt idx="13">
                  <c:v>1985</c:v>
                </c:pt>
                <c:pt idx="14">
                  <c:v>1987</c:v>
                </c:pt>
                <c:pt idx="15">
                  <c:v>1990</c:v>
                </c:pt>
              </c:numCache>
            </c:numRef>
          </c:xVal>
          <c:yVal>
            <c:numRef>
              <c:f>'food summary'!$S$207:$S$222</c:f>
              <c:numCache>
                <c:formatCode>General</c:formatCode>
                <c:ptCount val="16"/>
                <c:pt idx="0">
                  <c:v>1171.44</c:v>
                </c:pt>
                <c:pt idx="1">
                  <c:v>1180.8</c:v>
                </c:pt>
                <c:pt idx="2">
                  <c:v>1327.7999999999997</c:v>
                </c:pt>
                <c:pt idx="3">
                  <c:v>1482.08</c:v>
                </c:pt>
                <c:pt idx="4">
                  <c:v>1499.1200000000001</c:v>
                </c:pt>
                <c:pt idx="5">
                  <c:v>1515.14</c:v>
                </c:pt>
                <c:pt idx="6">
                  <c:v>1662.1000000000001</c:v>
                </c:pt>
                <c:pt idx="7">
                  <c:v>1656.8000000000002</c:v>
                </c:pt>
                <c:pt idx="8">
                  <c:v>904.88</c:v>
                </c:pt>
                <c:pt idx="9">
                  <c:v>1043.8400000000001</c:v>
                </c:pt>
                <c:pt idx="10">
                  <c:v>2211.2000000000003</c:v>
                </c:pt>
                <c:pt idx="11">
                  <c:v>1667.6000000000001</c:v>
                </c:pt>
                <c:pt idx="12">
                  <c:v>1528.64</c:v>
                </c:pt>
                <c:pt idx="13">
                  <c:v>2518.04</c:v>
                </c:pt>
                <c:pt idx="14">
                  <c:v>2345.2399999999998</c:v>
                </c:pt>
                <c:pt idx="15">
                  <c:v>1672.8799999999999</c:v>
                </c:pt>
              </c:numCache>
            </c:numRef>
          </c:yVal>
          <c:smooth val="0"/>
          <c:extLst>
            <c:ext xmlns:c16="http://schemas.microsoft.com/office/drawing/2014/chart" uri="{C3380CC4-5D6E-409C-BE32-E72D297353CC}">
              <c16:uniqueId val="{00000000-1FD6-425A-BEBD-BA5955BAAAF5}"/>
            </c:ext>
          </c:extLst>
        </c:ser>
        <c:dLbls>
          <c:showLegendKey val="0"/>
          <c:showVal val="0"/>
          <c:showCatName val="0"/>
          <c:showSerName val="0"/>
          <c:showPercent val="0"/>
          <c:showBubbleSize val="0"/>
        </c:dLbls>
        <c:axId val="779903392"/>
        <c:axId val="389070416"/>
      </c:scatterChart>
      <c:valAx>
        <c:axId val="779903392"/>
        <c:scaling>
          <c:orientation val="minMax"/>
          <c:max val="2000"/>
          <c:min val="175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9070416"/>
        <c:crosses val="autoZero"/>
        <c:crossBetween val="midCat"/>
      </c:valAx>
      <c:valAx>
        <c:axId val="389070416"/>
        <c:scaling>
          <c:orientation val="minMax"/>
          <c:max val="2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990339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19</xdr:col>
      <xdr:colOff>142875</xdr:colOff>
      <xdr:row>206</xdr:row>
      <xdr:rowOff>157162</xdr:rowOff>
    </xdr:from>
    <xdr:to>
      <xdr:col>26</xdr:col>
      <xdr:colOff>447675</xdr:colOff>
      <xdr:row>223</xdr:row>
      <xdr:rowOff>42862</xdr:rowOff>
    </xdr:to>
    <xdr:graphicFrame macro="">
      <xdr:nvGraphicFramePr>
        <xdr:cNvPr id="4" name="Chart 3">
          <a:extLst>
            <a:ext uri="{FF2B5EF4-FFF2-40B4-BE49-F238E27FC236}">
              <a16:creationId xmlns:a16="http://schemas.microsoft.com/office/drawing/2014/main" id="{5D05F527-BDFA-285B-3E39-6B1025157F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447675</xdr:colOff>
      <xdr:row>187</xdr:row>
      <xdr:rowOff>33337</xdr:rowOff>
    </xdr:from>
    <xdr:to>
      <xdr:col>26</xdr:col>
      <xdr:colOff>142875</xdr:colOff>
      <xdr:row>204</xdr:row>
      <xdr:rowOff>109537</xdr:rowOff>
    </xdr:to>
    <xdr:graphicFrame macro="">
      <xdr:nvGraphicFramePr>
        <xdr:cNvPr id="5" name="Chart 4">
          <a:extLst>
            <a:ext uri="{FF2B5EF4-FFF2-40B4-BE49-F238E27FC236}">
              <a16:creationId xmlns:a16="http://schemas.microsoft.com/office/drawing/2014/main" id="{95801C04-94C1-3260-4ACB-2F792B512A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history.pictures/2020/02/10/9-1-consumption-of-cereals/" TargetMode="External"/><Relationship Id="rId13" Type="http://schemas.openxmlformats.org/officeDocument/2006/relationships/hyperlink" Target="https://history.pictures/2020/10/21/9-4-consumption-of-other-foods/" TargetMode="External"/><Relationship Id="rId3" Type="http://schemas.openxmlformats.org/officeDocument/2006/relationships/hyperlink" Target="https://assets.publishing.service.gov.uk/media/5a7f0f7740f0b62305b84d2e/Domestic_Food_Consumption_and_Expenditure_1970_and_1971.pdf" TargetMode="External"/><Relationship Id="rId7" Type="http://schemas.openxmlformats.org/officeDocument/2006/relationships/hyperlink" Target="https://history.pictures/2020/02/10/9-1-consumption-of-cereals/" TargetMode="External"/><Relationship Id="rId12" Type="http://schemas.openxmlformats.org/officeDocument/2006/relationships/hyperlink" Target="https://dn760005.eu.archive.org/0/items/b32174755/b32174755.pdf" TargetMode="External"/><Relationship Id="rId2" Type="http://schemas.openxmlformats.org/officeDocument/2006/relationships/hyperlink" Target="https://history.pictures/2020/02/10/9-3-consumption-of-meat/" TargetMode="External"/><Relationship Id="rId1" Type="http://schemas.openxmlformats.org/officeDocument/2006/relationships/hyperlink" Target="https://history.pictures/2020/02/10/9-3-consumption-of-meat/" TargetMode="External"/><Relationship Id="rId6" Type="http://schemas.openxmlformats.org/officeDocument/2006/relationships/hyperlink" Target="https://history.pictures/2020/10/21/9-4-consumption-of-other-foods/" TargetMode="External"/><Relationship Id="rId11" Type="http://schemas.openxmlformats.org/officeDocument/2006/relationships/hyperlink" Target="https://assets.publishing.service.gov.uk/media/5a7f8e1940f0b62302690313/The_Urban_Working_-_Class_Household_Diet_1940-1949.pdf" TargetMode="External"/><Relationship Id="rId5" Type="http://schemas.openxmlformats.org/officeDocument/2006/relationships/hyperlink" Target="https://history.pictures/2020/10/21/9-4-consumption-of-other-foods/" TargetMode="External"/><Relationship Id="rId10" Type="http://schemas.openxmlformats.org/officeDocument/2006/relationships/hyperlink" Target="https://history.pictures/2020/10/21/9-4-consumption-of-other-foods/" TargetMode="External"/><Relationship Id="rId4" Type="http://schemas.openxmlformats.org/officeDocument/2006/relationships/hyperlink" Target="https://webarchive.nationalarchives.gov.uk/ukgwa/20130104055333mp_/http:/www.defra.gov.uk/statistics/files/defra-stats-food-family-annual-2002.pdf" TargetMode="External"/><Relationship Id="rId9" Type="http://schemas.openxmlformats.org/officeDocument/2006/relationships/hyperlink" Target="https://history.pictures/2020/10/21/9-4-consumption-of-other-foods/" TargetMode="Externa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publications.gc.ca/collections/collection_2018/statcan/63-210/CS63-210-1980.pdf" TargetMode="External"/><Relationship Id="rId2" Type="http://schemas.openxmlformats.org/officeDocument/2006/relationships/hyperlink" Target="https://publications.gc.ca/collections/collection_2018/statcan/63-210/CS63-210-1960-eng.pdf" TargetMode="External"/><Relationship Id="rId1" Type="http://schemas.openxmlformats.org/officeDocument/2006/relationships/hyperlink" Target="https://publications.gc.ca/collections/Collection-R/Statcan/63-210-XIB/0009863-210-XIB.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D15F6-18A6-495C-86EC-32003DCCF29C}">
  <dimension ref="A1:H91"/>
  <sheetViews>
    <sheetView topLeftCell="A10" workbookViewId="0">
      <selection activeCell="E48" sqref="E48"/>
    </sheetView>
  </sheetViews>
  <sheetFormatPr defaultRowHeight="15" x14ac:dyDescent="0.25"/>
  <cols>
    <col min="1" max="1" width="19.28515625" customWidth="1"/>
    <col min="2" max="2" width="17.5703125" customWidth="1"/>
    <col min="3" max="3" width="19.7109375" customWidth="1"/>
    <col min="4" max="4" width="33" customWidth="1"/>
    <col min="5" max="5" width="38.42578125" customWidth="1"/>
  </cols>
  <sheetData>
    <row r="1" spans="1:5" x14ac:dyDescent="0.25">
      <c r="A1" s="1" t="s">
        <v>0</v>
      </c>
      <c r="B1" s="1" t="s">
        <v>1</v>
      </c>
      <c r="C1" s="1" t="s">
        <v>7</v>
      </c>
      <c r="D1" s="1" t="s">
        <v>71</v>
      </c>
      <c r="E1" s="1" t="s">
        <v>8</v>
      </c>
    </row>
    <row r="2" spans="1:5" x14ac:dyDescent="0.25">
      <c r="A2">
        <v>1800</v>
      </c>
      <c r="B2" t="s">
        <v>2</v>
      </c>
      <c r="C2" t="s">
        <v>32</v>
      </c>
      <c r="D2">
        <f>3.5*10000*6.4 / 8</f>
        <v>28000</v>
      </c>
      <c r="E2" s="2" t="s">
        <v>10</v>
      </c>
    </row>
    <row r="3" spans="1:5" x14ac:dyDescent="0.25">
      <c r="B3" t="s">
        <v>4</v>
      </c>
      <c r="C3" t="s">
        <v>54</v>
      </c>
      <c r="D3">
        <f>(16*1.2)*6.4*10000/8</f>
        <v>153600</v>
      </c>
      <c r="E3" s="2" t="s">
        <v>70</v>
      </c>
    </row>
    <row r="4" spans="1:5" x14ac:dyDescent="0.25">
      <c r="B4" t="s">
        <v>6</v>
      </c>
      <c r="C4" t="s">
        <v>232</v>
      </c>
      <c r="D4">
        <f>D5/2.125</f>
        <v>9959.5294117647063</v>
      </c>
      <c r="E4" s="2"/>
    </row>
    <row r="5" spans="1:5" x14ac:dyDescent="0.25">
      <c r="B5" t="s">
        <v>5</v>
      </c>
      <c r="C5" t="s">
        <v>63</v>
      </c>
      <c r="D5">
        <f>2.6455*6.4*10000/8</f>
        <v>21164</v>
      </c>
      <c r="E5" s="2" t="s">
        <v>65</v>
      </c>
    </row>
    <row r="6" spans="1:5" x14ac:dyDescent="0.25">
      <c r="B6" t="s">
        <v>72</v>
      </c>
      <c r="C6" t="s">
        <v>74</v>
      </c>
      <c r="D6">
        <f>0.08523922 *35.27* 10000 * 6.4 / 8</f>
        <v>24051.098315200004</v>
      </c>
      <c r="E6" s="2" t="s">
        <v>65</v>
      </c>
    </row>
    <row r="7" spans="1:5" x14ac:dyDescent="0.25">
      <c r="A7">
        <v>1850</v>
      </c>
      <c r="B7" t="s">
        <v>72</v>
      </c>
      <c r="C7" t="s">
        <v>75</v>
      </c>
      <c r="D7">
        <f>0.06250876 *35.27* 10000 * 6.4 / 8</f>
        <v>17637.471721600003</v>
      </c>
      <c r="E7" s="2" t="s">
        <v>65</v>
      </c>
    </row>
    <row r="8" spans="1:5" x14ac:dyDescent="0.25">
      <c r="B8" t="s">
        <v>5</v>
      </c>
      <c r="C8" t="s">
        <v>64</v>
      </c>
      <c r="D8">
        <f>7.93*6.4*10000/8</f>
        <v>63440</v>
      </c>
      <c r="E8" s="2" t="s">
        <v>65</v>
      </c>
    </row>
    <row r="9" spans="1:5" x14ac:dyDescent="0.25">
      <c r="B9" t="s">
        <v>225</v>
      </c>
      <c r="C9" t="s">
        <v>257</v>
      </c>
      <c r="D9">
        <f>(3*20/7)*10000*6.4/8</f>
        <v>68571.428571428565</v>
      </c>
      <c r="E9" s="2" t="s">
        <v>65</v>
      </c>
    </row>
    <row r="10" spans="1:5" x14ac:dyDescent="0.25">
      <c r="A10">
        <v>1880</v>
      </c>
      <c r="B10" t="s">
        <v>2</v>
      </c>
      <c r="C10" t="s">
        <v>33</v>
      </c>
      <c r="D10">
        <f xml:space="preserve"> 5.4 * 10000 *6.4 / 8</f>
        <v>43200</v>
      </c>
      <c r="E10" s="2" t="s">
        <v>10</v>
      </c>
    </row>
    <row r="11" spans="1:5" x14ac:dyDescent="0.25">
      <c r="B11" t="s">
        <v>4</v>
      </c>
      <c r="C11" t="s">
        <v>53</v>
      </c>
      <c r="D11">
        <f>(16*1)*6.4*10000/8</f>
        <v>128000</v>
      </c>
      <c r="E11" s="2" t="s">
        <v>70</v>
      </c>
    </row>
    <row r="12" spans="1:5" x14ac:dyDescent="0.25">
      <c r="B12" t="s">
        <v>6</v>
      </c>
      <c r="C12" t="s">
        <v>81</v>
      </c>
      <c r="D12">
        <f>D8/2.125</f>
        <v>29854.117647058825</v>
      </c>
    </row>
    <row r="13" spans="1:5" x14ac:dyDescent="0.25">
      <c r="A13" t="s">
        <v>86</v>
      </c>
      <c r="B13" t="s">
        <v>2</v>
      </c>
      <c r="C13" t="s">
        <v>88</v>
      </c>
      <c r="D13">
        <f>(41.3/7)*0.793*10000*6.4/8</f>
        <v>37429.599999999999</v>
      </c>
      <c r="E13" t="s">
        <v>246</v>
      </c>
    </row>
    <row r="14" spans="1:5" x14ac:dyDescent="0.25">
      <c r="B14" t="s">
        <v>3</v>
      </c>
      <c r="C14" t="s">
        <v>89</v>
      </c>
      <c r="D14">
        <f>(12.6/7)*10000*6.4/8*0.578</f>
        <v>8323.1999999999989</v>
      </c>
      <c r="E14" t="s">
        <v>242</v>
      </c>
    </row>
    <row r="15" spans="1:5" x14ac:dyDescent="0.25">
      <c r="B15" t="s">
        <v>4</v>
      </c>
      <c r="C15" t="s">
        <v>90</v>
      </c>
      <c r="D15">
        <f>(71.2/7)*10000*6.4/8</f>
        <v>81371.42857142858</v>
      </c>
    </row>
    <row r="16" spans="1:5" x14ac:dyDescent="0.25">
      <c r="B16" t="s">
        <v>5</v>
      </c>
      <c r="C16" t="s">
        <v>91</v>
      </c>
      <c r="D16">
        <f>(97/7)*10000*6.4/8</f>
        <v>110857.14285714287</v>
      </c>
    </row>
    <row r="17" spans="1:6" x14ac:dyDescent="0.25">
      <c r="B17" t="s">
        <v>6</v>
      </c>
      <c r="C17" t="s">
        <v>92</v>
      </c>
      <c r="D17">
        <f>(19/7)*10000*6.4/8</f>
        <v>21714.285714285717</v>
      </c>
    </row>
    <row r="18" spans="1:6" x14ac:dyDescent="0.25">
      <c r="B18" t="s">
        <v>72</v>
      </c>
      <c r="C18" t="s">
        <v>100</v>
      </c>
      <c r="D18">
        <f>(1.98891525/7)*35.27*10000*6.4/8</f>
        <v>80170.332420000006</v>
      </c>
    </row>
    <row r="19" spans="1:6" x14ac:dyDescent="0.25">
      <c r="A19" t="s">
        <v>94</v>
      </c>
      <c r="B19" t="s">
        <v>2</v>
      </c>
      <c r="C19" t="s">
        <v>95</v>
      </c>
      <c r="D19">
        <f>(45/7)*0.793*10000*6.4/8</f>
        <v>40782.857142857152</v>
      </c>
      <c r="E19" s="2"/>
      <c r="F19" t="s">
        <v>246</v>
      </c>
    </row>
    <row r="20" spans="1:6" x14ac:dyDescent="0.25">
      <c r="B20" t="s">
        <v>3</v>
      </c>
      <c r="C20" t="s">
        <v>96</v>
      </c>
      <c r="D20">
        <f>((13.9/7)*10000*6.4/8)*(0.578)</f>
        <v>9181.942857142858</v>
      </c>
      <c r="E20" t="s">
        <v>242</v>
      </c>
    </row>
    <row r="21" spans="1:6" x14ac:dyDescent="0.25">
      <c r="B21" t="s">
        <v>4</v>
      </c>
      <c r="C21" t="s">
        <v>97</v>
      </c>
      <c r="D21">
        <f>(64.6/7)*10000*6.4/8</f>
        <v>73828.57142857142</v>
      </c>
    </row>
    <row r="22" spans="1:6" x14ac:dyDescent="0.25">
      <c r="B22" t="s">
        <v>5</v>
      </c>
      <c r="C22" t="s">
        <v>98</v>
      </c>
      <c r="D22">
        <f>(103.5/7)*10000*6.4/8</f>
        <v>118285.7142857143</v>
      </c>
    </row>
    <row r="23" spans="1:6" x14ac:dyDescent="0.25">
      <c r="B23" t="s">
        <v>6</v>
      </c>
      <c r="C23" t="s">
        <v>271</v>
      </c>
      <c r="D23">
        <f>(29.33/7)*10000*6.4/8</f>
        <v>33519.999999999993</v>
      </c>
      <c r="E23" t="s">
        <v>270</v>
      </c>
    </row>
    <row r="24" spans="1:6" x14ac:dyDescent="0.25">
      <c r="B24" t="s">
        <v>72</v>
      </c>
      <c r="C24" t="s">
        <v>99</v>
      </c>
      <c r="D24">
        <f>(1.87526295/7)*35.27*10000*6.4/8</f>
        <v>75589.170567428562</v>
      </c>
    </row>
    <row r="25" spans="1:6" x14ac:dyDescent="0.25">
      <c r="B25" t="s">
        <v>210</v>
      </c>
      <c r="C25" t="s">
        <v>272</v>
      </c>
      <c r="D25">
        <f>(10.2/7)*10000*6.4/8</f>
        <v>11657.142857142857</v>
      </c>
    </row>
    <row r="26" spans="1:6" x14ac:dyDescent="0.25">
      <c r="A26">
        <v>1960</v>
      </c>
      <c r="B26" t="s">
        <v>2</v>
      </c>
      <c r="C26" t="s">
        <v>239</v>
      </c>
    </row>
    <row r="27" spans="1:6" x14ac:dyDescent="0.25">
      <c r="B27" t="s">
        <v>3</v>
      </c>
    </row>
    <row r="28" spans="1:6" x14ac:dyDescent="0.25">
      <c r="B28" t="s">
        <v>4</v>
      </c>
    </row>
    <row r="29" spans="1:6" x14ac:dyDescent="0.25">
      <c r="B29" t="s">
        <v>5</v>
      </c>
    </row>
    <row r="30" spans="1:6" x14ac:dyDescent="0.25">
      <c r="B30" t="s">
        <v>6</v>
      </c>
    </row>
    <row r="31" spans="1:6" x14ac:dyDescent="0.25">
      <c r="B31" t="s">
        <v>72</v>
      </c>
    </row>
    <row r="32" spans="1:6" x14ac:dyDescent="0.25">
      <c r="A32">
        <v>1970</v>
      </c>
      <c r="B32" t="s">
        <v>2</v>
      </c>
      <c r="C32" t="s">
        <v>34</v>
      </c>
      <c r="D32">
        <f xml:space="preserve"> (39.53 / 7) *10000*6.4/8</f>
        <v>45177.14285714287</v>
      </c>
      <c r="E32" s="2" t="s">
        <v>9</v>
      </c>
    </row>
    <row r="33" spans="1:5" x14ac:dyDescent="0.25">
      <c r="B33" t="s">
        <v>3</v>
      </c>
      <c r="C33" t="s">
        <v>35</v>
      </c>
      <c r="D33">
        <f>(5.35/7)*6.4*10000/8</f>
        <v>6114.2857142857147</v>
      </c>
    </row>
    <row r="34" spans="1:5" x14ac:dyDescent="0.25">
      <c r="B34" t="s">
        <v>4</v>
      </c>
      <c r="C34" t="s">
        <v>48</v>
      </c>
      <c r="D34">
        <f>(63.19/7)*10000*6.4/8</f>
        <v>72217.14285714287</v>
      </c>
    </row>
    <row r="35" spans="1:5" x14ac:dyDescent="0.25">
      <c r="B35" t="s">
        <v>5</v>
      </c>
      <c r="C35" t="s">
        <v>36</v>
      </c>
      <c r="D35">
        <f>(87.55/7)*10000*6.4/8</f>
        <v>100057.14285714286</v>
      </c>
    </row>
    <row r="36" spans="1:5" x14ac:dyDescent="0.25">
      <c r="B36" t="s">
        <v>84</v>
      </c>
      <c r="C36" t="s">
        <v>83</v>
      </c>
      <c r="D36">
        <f>(23.14/7)*6.4*10000/8</f>
        <v>26445.714285714286</v>
      </c>
    </row>
    <row r="37" spans="1:5" x14ac:dyDescent="0.25">
      <c r="B37" t="s">
        <v>72</v>
      </c>
      <c r="C37" t="s">
        <v>76</v>
      </c>
      <c r="D37">
        <f xml:space="preserve"> (2.88676842 / 7)*35.27 * 10000 * 6.4 / 8</f>
        <v>116361.51105531432</v>
      </c>
    </row>
    <row r="38" spans="1:5" x14ac:dyDescent="0.25">
      <c r="B38" t="s">
        <v>210</v>
      </c>
      <c r="D38">
        <f>(F75/7)*10000*6.4/8</f>
        <v>17588.571428571431</v>
      </c>
    </row>
    <row r="39" spans="1:5" x14ac:dyDescent="0.25">
      <c r="A39">
        <v>2000</v>
      </c>
      <c r="B39" t="s">
        <v>2</v>
      </c>
      <c r="C39" t="s">
        <v>42</v>
      </c>
      <c r="D39">
        <f>((1016*0.03527396)/7)*6.4*10000/8</f>
        <v>40958.106697142859</v>
      </c>
      <c r="E39" s="2" t="s">
        <v>11</v>
      </c>
    </row>
    <row r="40" spans="1:5" x14ac:dyDescent="0.25">
      <c r="B40" t="s">
        <v>3</v>
      </c>
      <c r="C40" t="s">
        <v>44</v>
      </c>
      <c r="D40">
        <f>(163/1016)*D39</f>
        <v>6571.0348342857142</v>
      </c>
    </row>
    <row r="41" spans="1:5" x14ac:dyDescent="0.25">
      <c r="B41" t="s">
        <v>4</v>
      </c>
      <c r="C41" t="s">
        <v>46</v>
      </c>
      <c r="D41">
        <f>(1790/1016)*D39</f>
        <v>72160.443885714281</v>
      </c>
    </row>
    <row r="42" spans="1:5" x14ac:dyDescent="0.25">
      <c r="B42" t="s">
        <v>5</v>
      </c>
      <c r="C42" t="s">
        <v>43</v>
      </c>
      <c r="D42">
        <f>(2140/1016)*D39</f>
        <v>86270.027885714284</v>
      </c>
    </row>
    <row r="43" spans="1:5" x14ac:dyDescent="0.25">
      <c r="B43" t="s">
        <v>84</v>
      </c>
      <c r="C43" t="s">
        <v>85</v>
      </c>
      <c r="D43">
        <f>(761/1016)*D39</f>
        <v>30678.266925714288</v>
      </c>
    </row>
    <row r="44" spans="1:5" x14ac:dyDescent="0.25">
      <c r="B44" t="s">
        <v>72</v>
      </c>
      <c r="C44" s="5" t="s">
        <v>73</v>
      </c>
      <c r="D44" s="6">
        <f>(2.156/7)*35.27*10000*6.4/8</f>
        <v>86905.280000000013</v>
      </c>
    </row>
    <row r="45" spans="1:5" x14ac:dyDescent="0.25">
      <c r="B45" t="s">
        <v>210</v>
      </c>
      <c r="D45" s="6">
        <f>((C75*0.03527396) / 7)*10000*6.4/8</f>
        <v>42852.822262857146</v>
      </c>
      <c r="E45" s="4"/>
    </row>
    <row r="46" spans="1:5" x14ac:dyDescent="0.25">
      <c r="B46" t="s">
        <v>255</v>
      </c>
      <c r="C46" t="s">
        <v>256</v>
      </c>
      <c r="D46" s="6">
        <f>(0.415/7)*35.27*10000*6.4/8</f>
        <v>16728.057142857142</v>
      </c>
      <c r="E46" s="4"/>
    </row>
    <row r="47" spans="1:5" x14ac:dyDescent="0.25">
      <c r="B47" t="s">
        <v>259</v>
      </c>
      <c r="C47">
        <f>(415/2)*(99/54)</f>
        <v>380.41666666666663</v>
      </c>
      <c r="D47" s="6">
        <f>(0.38/7)*35.27*10000*6.4/8</f>
        <v>15317.257142857146</v>
      </c>
      <c r="E47" s="4" t="s">
        <v>258</v>
      </c>
    </row>
    <row r="48" spans="1:5" x14ac:dyDescent="0.25">
      <c r="B48" t="s">
        <v>278</v>
      </c>
      <c r="C48" t="s">
        <v>279</v>
      </c>
      <c r="D48" s="6"/>
      <c r="E48" s="4"/>
    </row>
    <row r="49" spans="1:3" x14ac:dyDescent="0.25">
      <c r="A49" s="3" t="s">
        <v>45</v>
      </c>
      <c r="B49" s="3"/>
      <c r="C49" s="4"/>
    </row>
    <row r="50" spans="1:3" x14ac:dyDescent="0.25">
      <c r="A50" s="1">
        <v>1</v>
      </c>
      <c r="B50" s="4" t="s">
        <v>47</v>
      </c>
    </row>
    <row r="51" spans="1:3" x14ac:dyDescent="0.25">
      <c r="A51" s="1">
        <v>2</v>
      </c>
      <c r="B51" t="s">
        <v>247</v>
      </c>
    </row>
    <row r="52" spans="1:3" x14ac:dyDescent="0.25">
      <c r="A52" s="1">
        <v>3</v>
      </c>
      <c r="B52" t="s">
        <v>82</v>
      </c>
    </row>
    <row r="53" spans="1:3" x14ac:dyDescent="0.25">
      <c r="A53" s="1" t="s">
        <v>80</v>
      </c>
    </row>
    <row r="54" spans="1:3" x14ac:dyDescent="0.25">
      <c r="A54" s="1">
        <v>1</v>
      </c>
      <c r="B54" t="s">
        <v>231</v>
      </c>
    </row>
    <row r="55" spans="1:3" x14ac:dyDescent="0.25">
      <c r="A55" s="1">
        <v>2</v>
      </c>
      <c r="B55" t="s">
        <v>93</v>
      </c>
    </row>
    <row r="56" spans="1:3" x14ac:dyDescent="0.25">
      <c r="A56" s="1">
        <v>3</v>
      </c>
      <c r="B56" t="s">
        <v>240</v>
      </c>
    </row>
    <row r="57" spans="1:3" x14ac:dyDescent="0.25">
      <c r="A57" s="1"/>
      <c r="B57" t="s">
        <v>241</v>
      </c>
    </row>
    <row r="58" spans="1:3" x14ac:dyDescent="0.25">
      <c r="A58" s="1">
        <v>4</v>
      </c>
      <c r="B58" t="s">
        <v>243</v>
      </c>
    </row>
    <row r="59" spans="1:3" x14ac:dyDescent="0.25">
      <c r="A59" s="1"/>
      <c r="B59" t="s">
        <v>244</v>
      </c>
    </row>
    <row r="60" spans="1:3" x14ac:dyDescent="0.25">
      <c r="A60" s="1">
        <v>5</v>
      </c>
      <c r="B60" t="s">
        <v>260</v>
      </c>
    </row>
    <row r="61" spans="1:3" x14ac:dyDescent="0.25">
      <c r="A61" s="1"/>
    </row>
    <row r="62" spans="1:3" x14ac:dyDescent="0.25">
      <c r="A62" s="1" t="s">
        <v>127</v>
      </c>
    </row>
    <row r="63" spans="1:3" x14ac:dyDescent="0.25">
      <c r="A63" s="1">
        <v>1</v>
      </c>
      <c r="B63" s="2" t="s">
        <v>87</v>
      </c>
    </row>
    <row r="64" spans="1:3" x14ac:dyDescent="0.25">
      <c r="A64" s="1">
        <v>2</v>
      </c>
      <c r="B64" s="2" t="s">
        <v>238</v>
      </c>
    </row>
    <row r="65" spans="1:8" x14ac:dyDescent="0.25">
      <c r="A65" s="1"/>
      <c r="B65" s="2"/>
    </row>
    <row r="66" spans="1:8" x14ac:dyDescent="0.25">
      <c r="A66" s="1"/>
      <c r="B66" s="2"/>
    </row>
    <row r="67" spans="1:8" x14ac:dyDescent="0.25">
      <c r="A67" t="s">
        <v>199</v>
      </c>
      <c r="B67" t="s">
        <v>200</v>
      </c>
    </row>
    <row r="68" spans="1:8" x14ac:dyDescent="0.25">
      <c r="B68" t="s">
        <v>202</v>
      </c>
    </row>
    <row r="69" spans="1:8" x14ac:dyDescent="0.25">
      <c r="B69" t="s">
        <v>277</v>
      </c>
    </row>
    <row r="70" spans="1:8" x14ac:dyDescent="0.25">
      <c r="B70" t="s">
        <v>273</v>
      </c>
      <c r="C70" t="s">
        <v>220</v>
      </c>
      <c r="D70" t="s">
        <v>275</v>
      </c>
      <c r="E70" t="s">
        <v>274</v>
      </c>
      <c r="F70" t="s">
        <v>211</v>
      </c>
      <c r="G70" t="s">
        <v>276</v>
      </c>
      <c r="H70" t="s">
        <v>198</v>
      </c>
    </row>
    <row r="71" spans="1:8" x14ac:dyDescent="0.25">
      <c r="A71" t="s">
        <v>196</v>
      </c>
      <c r="B71" s="12">
        <f>(100/72)/(410/820)</f>
        <v>2.7777777777777777</v>
      </c>
      <c r="C71">
        <f>45+126+256</f>
        <v>427</v>
      </c>
      <c r="D71">
        <f>C71*B71</f>
        <v>1186.1111111111111</v>
      </c>
      <c r="E71">
        <f>D71/D$75</f>
        <v>0.53540204535226843</v>
      </c>
      <c r="F71">
        <f>0.94+0.22+0.71+1.98</f>
        <v>3.8499999999999996</v>
      </c>
      <c r="G71">
        <f>F71*B71</f>
        <v>10.694444444444443</v>
      </c>
      <c r="H71">
        <f>G71/G$75</f>
        <v>0.37506078640391632</v>
      </c>
    </row>
    <row r="72" spans="1:8" x14ac:dyDescent="0.25">
      <c r="A72" t="s">
        <v>228</v>
      </c>
      <c r="B72">
        <f>(100/72)/(730/820)</f>
        <v>1.5601217656012176</v>
      </c>
      <c r="C72">
        <f>360+85</f>
        <v>445</v>
      </c>
      <c r="D72">
        <f>C72*B72</f>
        <v>694.2541856925418</v>
      </c>
      <c r="E72">
        <f>D72/D$75</f>
        <v>0.31338135823207908</v>
      </c>
      <c r="F72">
        <f>2.32+2.29+0.56+1.28</f>
        <v>6.45</v>
      </c>
      <c r="G72">
        <f>F72*B72</f>
        <v>10.062785388127853</v>
      </c>
      <c r="H72">
        <f>G72/G$75</f>
        <v>0.35290811230925345</v>
      </c>
    </row>
    <row r="73" spans="1:8" x14ac:dyDescent="0.25">
      <c r="A73" t="s">
        <v>197</v>
      </c>
      <c r="B73">
        <f>(100/72)/(410/820)</f>
        <v>2.7777777777777777</v>
      </c>
      <c r="C73">
        <f>6+31+44</f>
        <v>81</v>
      </c>
      <c r="D73">
        <f>C73*B73</f>
        <v>225</v>
      </c>
      <c r="E73">
        <f>D73/D$75</f>
        <v>0.10156338565230386</v>
      </c>
      <c r="F73">
        <f>0.38+0.31+0.14+0.67</f>
        <v>1.5</v>
      </c>
      <c r="G73">
        <f>F73*B73</f>
        <v>4.1666666666666661</v>
      </c>
      <c r="H73">
        <f>G73/G$75</f>
        <v>0.14612757911840896</v>
      </c>
    </row>
    <row r="74" spans="1:8" x14ac:dyDescent="0.25">
      <c r="A74" t="s">
        <v>201</v>
      </c>
      <c r="B74">
        <v>1</v>
      </c>
      <c r="C74">
        <v>110</v>
      </c>
      <c r="D74">
        <f>C74*B74</f>
        <v>110</v>
      </c>
      <c r="E74">
        <f>D74/D$75</f>
        <v>4.9653210763348547E-2</v>
      </c>
      <c r="F74">
        <v>3.59</v>
      </c>
      <c r="G74">
        <f>F74*B74</f>
        <v>3.59</v>
      </c>
      <c r="H74">
        <f>G74/G$75</f>
        <v>0.12590352216842118</v>
      </c>
    </row>
    <row r="75" spans="1:8" x14ac:dyDescent="0.25">
      <c r="A75" t="s">
        <v>203</v>
      </c>
      <c r="C75" s="1">
        <f>SUM(C71:C74)</f>
        <v>1063</v>
      </c>
      <c r="D75" s="1">
        <f>SUM(D71:D74)</f>
        <v>2215.3652968036531</v>
      </c>
      <c r="F75" s="1">
        <f>SUM(F71:F74)</f>
        <v>15.39</v>
      </c>
      <c r="G75" s="1">
        <f>SUM(G71:G74)</f>
        <v>28.513896499238964</v>
      </c>
    </row>
    <row r="77" spans="1:8" x14ac:dyDescent="0.25">
      <c r="A77" t="s">
        <v>229</v>
      </c>
      <c r="B77" t="s">
        <v>230</v>
      </c>
    </row>
    <row r="81" spans="1:7" x14ac:dyDescent="0.25">
      <c r="A81" s="1" t="s">
        <v>12</v>
      </c>
      <c r="B81" s="1" t="s">
        <v>204</v>
      </c>
      <c r="C81" t="s">
        <v>18</v>
      </c>
      <c r="D81" t="s">
        <v>218</v>
      </c>
      <c r="E81" t="s">
        <v>209</v>
      </c>
      <c r="F81" t="s">
        <v>195</v>
      </c>
      <c r="G81" t="s">
        <v>219</v>
      </c>
    </row>
    <row r="82" spans="1:7" x14ac:dyDescent="0.25">
      <c r="A82" s="1" t="s">
        <v>216</v>
      </c>
      <c r="B82" t="s">
        <v>2</v>
      </c>
      <c r="C82">
        <v>103</v>
      </c>
      <c r="D82">
        <f>(C82/C$86)*100</f>
        <v>32.698412698412696</v>
      </c>
      <c r="E82">
        <v>4</v>
      </c>
      <c r="F82" s="1">
        <f>ROUND(((E71*100)/D82)*E82, 0)</f>
        <v>7</v>
      </c>
      <c r="G82">
        <f>ROUND(F82/SUM(F$82:F$85)*E$86,0)</f>
        <v>5</v>
      </c>
    </row>
    <row r="83" spans="1:7" x14ac:dyDescent="0.25">
      <c r="A83" t="s">
        <v>215</v>
      </c>
      <c r="B83" t="s">
        <v>6</v>
      </c>
      <c r="C83">
        <v>103</v>
      </c>
      <c r="D83">
        <f>(C83/C$86)*100</f>
        <v>32.698412698412696</v>
      </c>
      <c r="E83">
        <v>6</v>
      </c>
      <c r="F83" s="1">
        <f>ROUND(((E72*100)/D83)*E83, 0)</f>
        <v>6</v>
      </c>
      <c r="G83">
        <f>ROUND(F83/SUM(F$82:F$85)*E$86,0)</f>
        <v>5</v>
      </c>
    </row>
    <row r="84" spans="1:7" x14ac:dyDescent="0.25">
      <c r="A84" s="1" t="s">
        <v>208</v>
      </c>
      <c r="B84" t="s">
        <v>3</v>
      </c>
      <c r="C84">
        <v>103</v>
      </c>
      <c r="D84">
        <f>(C84/C$86)*100</f>
        <v>32.698412698412696</v>
      </c>
      <c r="E84">
        <v>4</v>
      </c>
      <c r="F84" s="1">
        <f>ROUND(((E73*100)/D84)*E84, 0)</f>
        <v>1</v>
      </c>
      <c r="G84">
        <f>MAX(ROUND(F84/SUM(F$82:F$85)*E$86,0),1)</f>
        <v>1</v>
      </c>
    </row>
    <row r="85" spans="1:7" x14ac:dyDescent="0.25">
      <c r="A85" t="s">
        <v>207</v>
      </c>
      <c r="B85" t="s">
        <v>205</v>
      </c>
      <c r="C85">
        <v>6</v>
      </c>
      <c r="D85">
        <f>(C85/C$86)*100</f>
        <v>1.9047619047619049</v>
      </c>
      <c r="E85">
        <v>4</v>
      </c>
      <c r="F85" s="1">
        <f>ROUND(((E74*100)/D85)*E85, 0)</f>
        <v>10</v>
      </c>
      <c r="G85">
        <f>E86-SUM(G82:G84)</f>
        <v>7</v>
      </c>
    </row>
    <row r="86" spans="1:7" x14ac:dyDescent="0.25">
      <c r="A86" s="1" t="s">
        <v>206</v>
      </c>
      <c r="C86" s="1">
        <f>SUM(C82:C85)</f>
        <v>315</v>
      </c>
      <c r="E86">
        <f>SUM(E82:E85)</f>
        <v>18</v>
      </c>
      <c r="F86" s="1"/>
    </row>
    <row r="87" spans="1:7" x14ac:dyDescent="0.25">
      <c r="A87" t="s">
        <v>213</v>
      </c>
      <c r="B87" t="s">
        <v>2</v>
      </c>
      <c r="C87">
        <v>103</v>
      </c>
      <c r="D87">
        <f>(C87/C$91)*100</f>
        <v>32.924178493798749</v>
      </c>
      <c r="E87">
        <v>6</v>
      </c>
      <c r="F87" s="1">
        <f>ROUND(((H71*100)/D87)*E87, 0)</f>
        <v>7</v>
      </c>
      <c r="G87">
        <f>ROUNDUP(F87/SUM(F$87:F$90)*E$91,0)</f>
        <v>3</v>
      </c>
    </row>
    <row r="88" spans="1:7" x14ac:dyDescent="0.25">
      <c r="A88" t="s">
        <v>214</v>
      </c>
      <c r="B88" t="s">
        <v>6</v>
      </c>
      <c r="C88">
        <v>103</v>
      </c>
      <c r="D88">
        <f>(C88/C$91)*100</f>
        <v>32.924178493798749</v>
      </c>
      <c r="E88">
        <v>9</v>
      </c>
      <c r="F88" s="1">
        <f>ROUND(((H72*100)/D88)*E88, 0)</f>
        <v>10</v>
      </c>
      <c r="G88">
        <f>ROUNDUP(F88/SUM(F$87:F$90)*E$91,0)</f>
        <v>4</v>
      </c>
    </row>
    <row r="89" spans="1:7" x14ac:dyDescent="0.25">
      <c r="A89" t="s">
        <v>217</v>
      </c>
      <c r="B89" t="s">
        <v>3</v>
      </c>
      <c r="C89">
        <v>103</v>
      </c>
      <c r="D89">
        <f>(C89/C$91)*100</f>
        <v>32.924178493798749</v>
      </c>
      <c r="E89">
        <v>6</v>
      </c>
      <c r="F89" s="1">
        <f>MAX(ROUND(((H73*100)/D89)*E89, 0),1)</f>
        <v>3</v>
      </c>
      <c r="G89">
        <f>ROUNDUP(F89/SUM(F$87:F$90)*E$91,0)</f>
        <v>1</v>
      </c>
    </row>
    <row r="90" spans="1:7" x14ac:dyDescent="0.25">
      <c r="A90" t="s">
        <v>212</v>
      </c>
      <c r="B90" t="s">
        <v>205</v>
      </c>
      <c r="C90">
        <v>3.84</v>
      </c>
      <c r="D90">
        <f>(C90/C$91)*100</f>
        <v>1.2274645186037592</v>
      </c>
      <c r="E90">
        <v>6</v>
      </c>
      <c r="F90" s="1">
        <f>ROUND(((H74*100)/D90)*E90, 0)</f>
        <v>62</v>
      </c>
      <c r="G90">
        <f>E91-SUM(G87:G89)</f>
        <v>19</v>
      </c>
    </row>
    <row r="91" spans="1:7" x14ac:dyDescent="0.25">
      <c r="A91" s="1" t="s">
        <v>206</v>
      </c>
      <c r="C91" s="1">
        <f>SUM(C87:C90)</f>
        <v>312.83999999999997</v>
      </c>
      <c r="E91" s="1">
        <f>SUM(E87:E90)</f>
        <v>27</v>
      </c>
    </row>
  </sheetData>
  <hyperlinks>
    <hyperlink ref="E2" r:id="rId1" display="https://history.pictures/2020/02/10/9-3-consumption-of-meat/" xr:uid="{F6ABE5C8-37CB-4716-879B-64C74DB128F8}"/>
    <hyperlink ref="E10" r:id="rId2" display="https://history.pictures/2020/02/10/9-3-consumption-of-meat/" xr:uid="{0EE12F9B-C523-4FAF-AA87-223AD63C33E5}"/>
    <hyperlink ref="E32" r:id="rId3" xr:uid="{731C3305-BEAA-4468-BD29-D135D35C5112}"/>
    <hyperlink ref="E39" r:id="rId4" display="https://webarchive.nationalarchives.gov.uk/ukgwa/20130104055333mp_/http:/www.defra.gov.uk/statistics/files/defra-stats-food-family-annual-2002.pdf" xr:uid="{D65896A6-5EDA-45A1-BFDD-E3DD440364A5}"/>
    <hyperlink ref="E8" r:id="rId5" display="https://history.pictures/2020/10/21/9-4-consumption-of-other-foods/" xr:uid="{B5BDB095-F4AA-4AEC-BED2-835552E677DA}"/>
    <hyperlink ref="E5" r:id="rId6" display="https://history.pictures/2020/10/21/9-4-consumption-of-other-foods/" xr:uid="{6BDFE8F7-A4B7-4968-BA29-EAEE8DA6DABA}"/>
    <hyperlink ref="E3" r:id="rId7" display="https://history.pictures/2020/02/10/9-1-consumption-of-cereals/" xr:uid="{052EEABF-6CCA-44FB-BDE0-B029A16A356B}"/>
    <hyperlink ref="E11" r:id="rId8" display="https://history.pictures/2020/02/10/9-1-consumption-of-cereals/" xr:uid="{B6988925-7344-42C8-9532-1CBC4BBC80CF}"/>
    <hyperlink ref="E6" r:id="rId9" display="https://history.pictures/2020/10/21/9-4-consumption-of-other-foods/" xr:uid="{9505887F-FD4A-4D74-AA6F-A636530ABB6D}"/>
    <hyperlink ref="E7" r:id="rId10" display="https://history.pictures/2020/10/21/9-4-consumption-of-other-foods/" xr:uid="{2D67D00D-BEEB-4945-9941-84E709BBD8C8}"/>
    <hyperlink ref="B63" r:id="rId11" display="https://assets.publishing.service.gov.uk/media/5a7f8e1940f0b62302690313/The_Urban_Working_-_Class_Household_Diet_1940-1949.pdf" xr:uid="{7390DD77-970B-4383-A9BE-753E26C62AE9}"/>
    <hyperlink ref="B64" r:id="rId12" display="https://dn760005.eu.archive.org/0/items/b32174755/b32174755.pdf" xr:uid="{7EC83B5C-9349-41AD-92A2-8BE9EED193C4}"/>
    <hyperlink ref="E9" r:id="rId13" display="https://history.pictures/2020/10/21/9-4-consumption-of-other-foods/" xr:uid="{6C4572EB-2C91-48A8-9BF5-3DE97E60FB37}"/>
  </hyperlinks>
  <pageMargins left="0.7" right="0.7" top="0.75" bottom="0.75" header="0.3" footer="0.3"/>
  <pageSetup orientation="portrait"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D60E-37D0-4490-9F1B-9577E339A176}">
  <dimension ref="A1:H63"/>
  <sheetViews>
    <sheetView workbookViewId="0">
      <selection activeCell="H4" sqref="H4"/>
    </sheetView>
  </sheetViews>
  <sheetFormatPr defaultRowHeight="15" x14ac:dyDescent="0.25"/>
  <cols>
    <col min="2" max="2" width="44.140625" customWidth="1"/>
    <col min="3" max="3" width="20.5703125" customWidth="1"/>
    <col min="4" max="4" width="13.5703125" customWidth="1"/>
    <col min="5" max="5" width="23.140625" customWidth="1"/>
    <col min="6" max="6" width="25.42578125" customWidth="1"/>
    <col min="7" max="7" width="18" customWidth="1"/>
    <col min="8" max="8" width="19.28515625" customWidth="1"/>
  </cols>
  <sheetData>
    <row r="1" spans="1:8" x14ac:dyDescent="0.25">
      <c r="A1" s="1" t="s">
        <v>0</v>
      </c>
      <c r="B1" s="1" t="s">
        <v>118</v>
      </c>
      <c r="C1" t="s">
        <v>140</v>
      </c>
      <c r="D1" s="1" t="s">
        <v>119</v>
      </c>
      <c r="E1" s="1" t="s">
        <v>126</v>
      </c>
      <c r="F1" s="1" t="s">
        <v>120</v>
      </c>
      <c r="G1" s="1" t="s">
        <v>169</v>
      </c>
      <c r="H1" s="1" t="s">
        <v>170</v>
      </c>
    </row>
    <row r="2" spans="1:8" x14ac:dyDescent="0.25">
      <c r="A2" s="1">
        <v>1933</v>
      </c>
    </row>
    <row r="3" spans="1:8" x14ac:dyDescent="0.25">
      <c r="A3">
        <v>1950</v>
      </c>
      <c r="B3" t="s">
        <v>166</v>
      </c>
      <c r="D3">
        <v>230</v>
      </c>
      <c r="F3">
        <f>(E$23/D$23)*D3</f>
        <v>44686.972928984338</v>
      </c>
      <c r="G3">
        <v>14009400</v>
      </c>
      <c r="H3">
        <f>((F3/E$31)*H$31)*(G$31/G3)</f>
        <v>3.5381348033364008</v>
      </c>
    </row>
    <row r="4" spans="1:8" x14ac:dyDescent="0.25">
      <c r="B4" t="s">
        <v>167</v>
      </c>
      <c r="C4" t="s">
        <v>27</v>
      </c>
      <c r="D4">
        <v>879</v>
      </c>
      <c r="F4">
        <f>(E$23/D$23)*D4</f>
        <v>170781.95306337927</v>
      </c>
      <c r="G4">
        <v>14009400</v>
      </c>
      <c r="H4">
        <f>((F4/E$31)*H$31)*(G$31/G4)</f>
        <v>13.521828226663894</v>
      </c>
    </row>
    <row r="5" spans="1:8" x14ac:dyDescent="0.25">
      <c r="B5" t="s">
        <v>133</v>
      </c>
      <c r="D5">
        <v>162</v>
      </c>
      <c r="G5">
        <v>14009400</v>
      </c>
    </row>
    <row r="6" spans="1:8" x14ac:dyDescent="0.25">
      <c r="B6" t="s">
        <v>168</v>
      </c>
      <c r="D6">
        <v>53</v>
      </c>
      <c r="F6">
        <f>(E38/D38)*D6</f>
        <v>15510.591603053435</v>
      </c>
      <c r="G6">
        <v>14009400</v>
      </c>
      <c r="H6">
        <f>((F6/E$31)*H$31)*(G$31/G6)</f>
        <v>1.2280662657171393</v>
      </c>
    </row>
    <row r="7" spans="1:8" x14ac:dyDescent="0.25">
      <c r="B7" t="s">
        <v>161</v>
      </c>
      <c r="C7" t="s">
        <v>153</v>
      </c>
      <c r="D7">
        <v>560</v>
      </c>
      <c r="F7">
        <f>(E$23/D$23)*D7</f>
        <v>108803.06452274448</v>
      </c>
      <c r="G7">
        <v>14009400</v>
      </c>
      <c r="H7">
        <f>((F7/E$31)*H$31)*(G$31/G7)</f>
        <v>8.6145890863842798</v>
      </c>
    </row>
    <row r="8" spans="1:8" x14ac:dyDescent="0.25">
      <c r="B8" t="s">
        <v>135</v>
      </c>
      <c r="C8" t="s">
        <v>171</v>
      </c>
      <c r="D8">
        <f>158+142+458</f>
        <v>758</v>
      </c>
      <c r="F8">
        <f>(E$27/D$27)*D8</f>
        <v>343100.98815165256</v>
      </c>
      <c r="G8">
        <v>14009400</v>
      </c>
      <c r="H8">
        <f>((F8/E$31)*H$31)*(G$31/G8)</f>
        <v>27.165356426528099</v>
      </c>
    </row>
    <row r="9" spans="1:8" x14ac:dyDescent="0.25">
      <c r="B9" t="s">
        <v>163</v>
      </c>
      <c r="D9">
        <v>49</v>
      </c>
      <c r="G9">
        <v>14009400</v>
      </c>
    </row>
    <row r="10" spans="1:8" x14ac:dyDescent="0.25">
      <c r="B10" t="s">
        <v>164</v>
      </c>
      <c r="D10">
        <v>184</v>
      </c>
      <c r="G10">
        <v>14009400</v>
      </c>
    </row>
    <row r="11" spans="1:8" x14ac:dyDescent="0.25">
      <c r="B11" t="s">
        <v>139</v>
      </c>
      <c r="D11">
        <v>320</v>
      </c>
      <c r="F11">
        <f>(E25/D25)*D11</f>
        <v>31835.53091076334</v>
      </c>
      <c r="G11">
        <v>14009400</v>
      </c>
      <c r="H11">
        <f>((F11/E$31)*H$31)*(G$31/G11)</f>
        <v>2.5206093077073333</v>
      </c>
    </row>
    <row r="12" spans="1:8" x14ac:dyDescent="0.25">
      <c r="A12" s="1">
        <v>1960</v>
      </c>
      <c r="B12" t="s">
        <v>165</v>
      </c>
      <c r="C12" t="s">
        <v>31</v>
      </c>
      <c r="D12">
        <v>1494</v>
      </c>
      <c r="F12">
        <f>(E$23/D$23)*D12</f>
        <v>290271.03285175044</v>
      </c>
      <c r="G12">
        <v>18238200</v>
      </c>
      <c r="H12">
        <f>(F12/E$31)*H$31*(G$31/G20)</f>
        <v>17.653657587421211</v>
      </c>
    </row>
    <row r="13" spans="1:8" x14ac:dyDescent="0.25">
      <c r="G13">
        <v>18238200</v>
      </c>
    </row>
    <row r="14" spans="1:8" x14ac:dyDescent="0.25">
      <c r="B14" t="s">
        <v>133</v>
      </c>
      <c r="D14">
        <v>250</v>
      </c>
      <c r="F14">
        <f>(E$24/D$24)*D14</f>
        <v>20865.02742667625</v>
      </c>
      <c r="G14">
        <v>18238200</v>
      </c>
      <c r="H14">
        <f>(F14/E$31)*H$31*(G$31/G20)</f>
        <v>1.2689659251352803</v>
      </c>
    </row>
    <row r="15" spans="1:8" x14ac:dyDescent="0.25">
      <c r="B15" t="s">
        <v>160</v>
      </c>
      <c r="C15" t="s">
        <v>25</v>
      </c>
      <c r="D15">
        <v>50</v>
      </c>
      <c r="F15">
        <f>(E38/D38)*D15</f>
        <v>14632.633587786258</v>
      </c>
      <c r="G15">
        <v>18238200</v>
      </c>
      <c r="H15">
        <f>(F15/E$31)*H$31*(G$31/G21)</f>
        <v>0.65393629833614531</v>
      </c>
    </row>
    <row r="16" spans="1:8" x14ac:dyDescent="0.25">
      <c r="B16" t="s">
        <v>161</v>
      </c>
      <c r="D16">
        <v>780</v>
      </c>
      <c r="F16">
        <f>(E$23/D$23)*D16</f>
        <v>151547.12558525123</v>
      </c>
      <c r="G16">
        <v>18238200</v>
      </c>
      <c r="H16">
        <f>(F16/E$31)*H$31</f>
        <v>5.547691673005831</v>
      </c>
    </row>
    <row r="17" spans="1:8" x14ac:dyDescent="0.25">
      <c r="B17" t="s">
        <v>162</v>
      </c>
      <c r="D17">
        <f>222+707+214</f>
        <v>1143</v>
      </c>
      <c r="F17">
        <f>(E$27/D$27)*D17</f>
        <v>517367.32118382439</v>
      </c>
      <c r="G17">
        <v>18238200</v>
      </c>
      <c r="H17">
        <f>(F17/E$31)*H$31*(G$31/G20)</f>
        <v>31.465163593383107</v>
      </c>
    </row>
    <row r="18" spans="1:8" x14ac:dyDescent="0.25">
      <c r="B18" t="s">
        <v>163</v>
      </c>
      <c r="D18">
        <v>169</v>
      </c>
      <c r="G18">
        <v>18238200</v>
      </c>
      <c r="H18">
        <f>(F18/E$31)*H$31</f>
        <v>0</v>
      </c>
    </row>
    <row r="19" spans="1:8" x14ac:dyDescent="0.25">
      <c r="B19" t="s">
        <v>164</v>
      </c>
      <c r="D19">
        <v>212</v>
      </c>
      <c r="F19" t="e">
        <f>(E28/D28)*D19</f>
        <v>#DIV/0!</v>
      </c>
      <c r="G19">
        <v>18238200</v>
      </c>
      <c r="H19" t="e">
        <f>(F19/E$31)*H$31</f>
        <v>#DIV/0!</v>
      </c>
    </row>
    <row r="20" spans="1:8" x14ac:dyDescent="0.25">
      <c r="B20" t="s">
        <v>139</v>
      </c>
      <c r="D20">
        <v>383</v>
      </c>
      <c r="F20">
        <f>(E25/D25)*D20</f>
        <v>38103.151058819873</v>
      </c>
      <c r="G20">
        <v>18238200</v>
      </c>
      <c r="H20">
        <f>(((F20/E$31)*H$31)*(G$31/G20))</f>
        <v>2.317351391165988</v>
      </c>
    </row>
    <row r="21" spans="1:8" x14ac:dyDescent="0.25">
      <c r="A21" s="1">
        <v>1980</v>
      </c>
      <c r="B21" t="s">
        <v>124</v>
      </c>
      <c r="C21" t="s">
        <v>29</v>
      </c>
      <c r="D21">
        <v>1705</v>
      </c>
      <c r="E21">
        <f>36304160/C42</f>
        <v>3372766.8338822289</v>
      </c>
      <c r="G21">
        <v>24819900</v>
      </c>
      <c r="H21">
        <f>(E21/E$31)*H$31*(G$31/G29)</f>
        <v>150.72984950165366</v>
      </c>
    </row>
    <row r="22" spans="1:8" x14ac:dyDescent="0.25">
      <c r="B22" t="s">
        <v>160</v>
      </c>
      <c r="D22">
        <v>28</v>
      </c>
      <c r="F22">
        <f>(E38/D38)*D22</f>
        <v>8194.2748091603044</v>
      </c>
      <c r="G22">
        <v>24819900</v>
      </c>
      <c r="H22">
        <f>(F22/E$31)*H$31*(G$31/G27)</f>
        <v>0.36620432706824135</v>
      </c>
    </row>
    <row r="23" spans="1:8" x14ac:dyDescent="0.25">
      <c r="B23" t="s">
        <v>132</v>
      </c>
      <c r="D23">
        <v>1631</v>
      </c>
      <c r="E23">
        <f>3410964/C42</f>
        <v>316888.92542249331</v>
      </c>
      <c r="G23">
        <v>24819900</v>
      </c>
      <c r="H23">
        <f>(E23/E$31)*H$31*(G$31/G28)</f>
        <v>14.161850608182609</v>
      </c>
    </row>
    <row r="24" spans="1:8" x14ac:dyDescent="0.25">
      <c r="B24" t="s">
        <v>133</v>
      </c>
      <c r="D24">
        <v>28</v>
      </c>
      <c r="E24">
        <f>25154/C42</f>
        <v>2336.8830717877399</v>
      </c>
      <c r="G24">
        <v>24819900</v>
      </c>
      <c r="H24">
        <f>(E24/E$31)*H$31*(G$31/G29)</f>
        <v>0.10443592784861561</v>
      </c>
    </row>
    <row r="25" spans="1:8" x14ac:dyDescent="0.25">
      <c r="B25" t="s">
        <v>139</v>
      </c>
      <c r="C25" t="s">
        <v>142</v>
      </c>
      <c r="D25">
        <v>531</v>
      </c>
      <c r="E25">
        <f>568626/C$42</f>
        <v>52827.084105047921</v>
      </c>
      <c r="G25">
        <v>24819900</v>
      </c>
      <c r="H25">
        <f>(E25/E$31)*H$31*(G$31/G29)*(G$31/G29)</f>
        <v>2.882158900710901</v>
      </c>
    </row>
    <row r="26" spans="1:8" x14ac:dyDescent="0.25">
      <c r="B26" t="s">
        <v>226</v>
      </c>
      <c r="C26" t="s">
        <v>154</v>
      </c>
      <c r="D26">
        <v>222</v>
      </c>
      <c r="E26">
        <f>2562641/C42</f>
        <v>238077.13969822714</v>
      </c>
      <c r="G26">
        <v>24819900</v>
      </c>
      <c r="H26">
        <f>(E26/E$31)*H$31*(G$31/G29)</f>
        <v>10.639730880889884</v>
      </c>
    </row>
    <row r="27" spans="1:8" x14ac:dyDescent="0.25">
      <c r="B27" t="s">
        <v>135</v>
      </c>
      <c r="C27" t="s">
        <v>144</v>
      </c>
      <c r="D27">
        <f>683+1489+117+887+130</f>
        <v>3306</v>
      </c>
      <c r="E27">
        <f>(4194002+4284894+294398+6749058+585057)/C42</f>
        <v>1496427.2649463897</v>
      </c>
      <c r="G27">
        <v>24819900</v>
      </c>
      <c r="H27">
        <f>(E27/E$31)*H$31*(G$31/G29)</f>
        <v>66.87573364682126</v>
      </c>
    </row>
    <row r="28" spans="1:8" x14ac:dyDescent="0.25">
      <c r="B28" t="s">
        <v>136</v>
      </c>
      <c r="G28">
        <v>24819900</v>
      </c>
    </row>
    <row r="29" spans="1:8" x14ac:dyDescent="0.25">
      <c r="B29" t="s">
        <v>137</v>
      </c>
      <c r="C29" t="s">
        <v>141</v>
      </c>
      <c r="D29">
        <v>464</v>
      </c>
      <c r="E29">
        <f>194862/C42</f>
        <v>18103.272208583228</v>
      </c>
      <c r="G29">
        <v>24819900</v>
      </c>
      <c r="H29">
        <f>(E29/E$31)*H$31*(G$31/G29)</f>
        <v>0.80904006410260521</v>
      </c>
    </row>
    <row r="30" spans="1:8" x14ac:dyDescent="0.25">
      <c r="B30" t="s">
        <v>172</v>
      </c>
      <c r="C30" t="s">
        <v>173</v>
      </c>
      <c r="D30">
        <f>C50+C54</f>
        <v>752</v>
      </c>
      <c r="E30">
        <f>C63</f>
        <v>2591919.9914207789</v>
      </c>
      <c r="G30">
        <v>24819900</v>
      </c>
      <c r="H30">
        <f>(E30/E$31)*H$31*(G$31/G30)</f>
        <v>115.83359581886334</v>
      </c>
    </row>
    <row r="31" spans="1:8" x14ac:dyDescent="0.25">
      <c r="A31" s="1">
        <v>1998</v>
      </c>
      <c r="B31" t="s">
        <v>124</v>
      </c>
      <c r="C31" t="s">
        <v>30</v>
      </c>
      <c r="D31">
        <v>1481</v>
      </c>
      <c r="E31">
        <v>4979622</v>
      </c>
      <c r="G31">
        <v>30300400</v>
      </c>
      <c r="H31">
        <f>(E31/E$34)*H$34</f>
        <v>182.2892212401367</v>
      </c>
    </row>
    <row r="32" spans="1:8" x14ac:dyDescent="0.25">
      <c r="B32" t="s">
        <v>132</v>
      </c>
      <c r="D32">
        <v>1693</v>
      </c>
      <c r="E32">
        <v>366963</v>
      </c>
      <c r="G32">
        <v>30300400</v>
      </c>
      <c r="H32">
        <f>(E32/E$34)*H$34</f>
        <v>13.433429182766139</v>
      </c>
    </row>
    <row r="33" spans="1:8" x14ac:dyDescent="0.25">
      <c r="B33" t="s">
        <v>134</v>
      </c>
      <c r="C33" t="s">
        <v>143</v>
      </c>
      <c r="D33">
        <v>827</v>
      </c>
      <c r="E33">
        <v>463960</v>
      </c>
      <c r="G33">
        <v>30300400</v>
      </c>
      <c r="H33">
        <f>(E33/E$34)*H$34</f>
        <v>16.984202231931221</v>
      </c>
    </row>
    <row r="34" spans="1:8" x14ac:dyDescent="0.25">
      <c r="B34" t="s">
        <v>135</v>
      </c>
      <c r="C34" t="s">
        <v>145</v>
      </c>
      <c r="D34">
        <f>821+3613+370+2774</f>
        <v>7578</v>
      </c>
      <c r="E34">
        <f>265751+753638+85192+1627134</f>
        <v>2731715</v>
      </c>
      <c r="G34">
        <v>30300400</v>
      </c>
      <c r="H34">
        <v>100</v>
      </c>
    </row>
    <row r="35" spans="1:8" x14ac:dyDescent="0.25">
      <c r="B35" t="s">
        <v>136</v>
      </c>
      <c r="G35">
        <v>30300400</v>
      </c>
    </row>
    <row r="36" spans="1:8" x14ac:dyDescent="0.25">
      <c r="B36" t="s">
        <v>137</v>
      </c>
      <c r="C36" t="s">
        <v>155</v>
      </c>
      <c r="D36">
        <v>858</v>
      </c>
      <c r="E36">
        <v>325108</v>
      </c>
      <c r="G36">
        <v>30300400</v>
      </c>
      <c r="H36">
        <f>(E36/E$31)*H$31</f>
        <v>11.901241527758204</v>
      </c>
    </row>
    <row r="37" spans="1:8" x14ac:dyDescent="0.25">
      <c r="B37" t="s">
        <v>172</v>
      </c>
      <c r="C37" t="s">
        <v>148</v>
      </c>
      <c r="D37">
        <v>810</v>
      </c>
      <c r="E37">
        <f>F63</f>
        <v>7559015.1350792805</v>
      </c>
      <c r="G37">
        <v>30300400</v>
      </c>
      <c r="H37">
        <f>(E37/E$31)*H$31</f>
        <v>276.71316865336541</v>
      </c>
    </row>
    <row r="38" spans="1:8" x14ac:dyDescent="0.25">
      <c r="B38" t="s">
        <v>227</v>
      </c>
      <c r="D38">
        <v>262</v>
      </c>
      <c r="E38">
        <v>76675</v>
      </c>
      <c r="G38">
        <v>30300400</v>
      </c>
      <c r="H38">
        <f>(E38/E$31)*H$31</f>
        <v>2.8068447843204729</v>
      </c>
    </row>
    <row r="39" spans="1:8" x14ac:dyDescent="0.25">
      <c r="A39" s="1" t="s">
        <v>45</v>
      </c>
    </row>
    <row r="40" spans="1:8" x14ac:dyDescent="0.25">
      <c r="A40" s="1">
        <v>1</v>
      </c>
      <c r="B40" t="s">
        <v>117</v>
      </c>
    </row>
    <row r="41" spans="1:8" x14ac:dyDescent="0.25">
      <c r="A41" s="1">
        <v>2</v>
      </c>
      <c r="B41" t="s">
        <v>125</v>
      </c>
    </row>
    <row r="42" spans="1:8" x14ac:dyDescent="0.25">
      <c r="A42">
        <v>3</v>
      </c>
      <c r="B42" t="s">
        <v>138</v>
      </c>
      <c r="C42">
        <f xml:space="preserve"> 10.7639104</f>
        <v>10.7639104</v>
      </c>
    </row>
    <row r="43" spans="1:8" x14ac:dyDescent="0.25">
      <c r="A43" s="1" t="s">
        <v>127</v>
      </c>
    </row>
    <row r="44" spans="1:8" x14ac:dyDescent="0.25">
      <c r="A44" s="1" t="s">
        <v>128</v>
      </c>
      <c r="B44" t="s">
        <v>121</v>
      </c>
    </row>
    <row r="45" spans="1:8" x14ac:dyDescent="0.25">
      <c r="A45" s="1" t="s">
        <v>129</v>
      </c>
      <c r="B45" s="2" t="s">
        <v>159</v>
      </c>
    </row>
    <row r="46" spans="1:8" x14ac:dyDescent="0.25">
      <c r="A46" s="1" t="s">
        <v>130</v>
      </c>
      <c r="B46" s="2" t="s">
        <v>122</v>
      </c>
    </row>
    <row r="47" spans="1:8" x14ac:dyDescent="0.25">
      <c r="A47" s="1" t="s">
        <v>131</v>
      </c>
      <c r="B47" s="2" t="s">
        <v>123</v>
      </c>
    </row>
    <row r="49" spans="1:6" x14ac:dyDescent="0.25">
      <c r="B49" t="s">
        <v>174</v>
      </c>
      <c r="C49" s="1" t="s">
        <v>130</v>
      </c>
      <c r="E49" t="s">
        <v>189</v>
      </c>
    </row>
    <row r="50" spans="1:6" x14ac:dyDescent="0.25">
      <c r="A50" s="4" t="s">
        <v>175</v>
      </c>
      <c r="B50" s="4"/>
      <c r="C50">
        <v>324</v>
      </c>
    </row>
    <row r="51" spans="1:6" x14ac:dyDescent="0.25">
      <c r="A51" s="4" t="s">
        <v>176</v>
      </c>
      <c r="B51" s="4"/>
      <c r="C51">
        <v>6309868</v>
      </c>
    </row>
    <row r="52" spans="1:6" x14ac:dyDescent="0.25">
      <c r="A52" s="4" t="s">
        <v>177</v>
      </c>
      <c r="B52" s="4"/>
      <c r="C52">
        <v>2018</v>
      </c>
    </row>
    <row r="53" spans="1:6" x14ac:dyDescent="0.25">
      <c r="A53" s="9" t="s">
        <v>178</v>
      </c>
      <c r="B53" s="9"/>
      <c r="C53">
        <f>C51/C52</f>
        <v>3126.7928642220022</v>
      </c>
    </row>
    <row r="54" spans="1:6" x14ac:dyDescent="0.25">
      <c r="A54" s="4" t="s">
        <v>179</v>
      </c>
      <c r="B54" s="4"/>
      <c r="C54">
        <v>428</v>
      </c>
    </row>
    <row r="55" spans="1:6" x14ac:dyDescent="0.25">
      <c r="A55" s="4" t="s">
        <v>180</v>
      </c>
      <c r="B55" s="4"/>
      <c r="C55">
        <v>3287388</v>
      </c>
    </row>
    <row r="56" spans="1:6" x14ac:dyDescent="0.25">
      <c r="A56" s="4" t="s">
        <v>181</v>
      </c>
      <c r="B56" s="4"/>
      <c r="C56">
        <v>1309</v>
      </c>
    </row>
    <row r="57" spans="1:6" x14ac:dyDescent="0.25">
      <c r="A57" s="9" t="s">
        <v>182</v>
      </c>
      <c r="B57" s="9"/>
      <c r="C57">
        <f>C55/C56</f>
        <v>2511.3735676088618</v>
      </c>
    </row>
    <row r="58" spans="1:6" x14ac:dyDescent="0.25">
      <c r="A58" s="9" t="s">
        <v>183</v>
      </c>
      <c r="B58" s="9"/>
      <c r="C58">
        <f>C53*C50+C57*C54</f>
        <v>2087948.7749445215</v>
      </c>
      <c r="D58" s="3" t="s">
        <v>194</v>
      </c>
      <c r="E58" s="3"/>
      <c r="F58">
        <f>6647973</f>
        <v>6647973</v>
      </c>
    </row>
    <row r="59" spans="1:6" x14ac:dyDescent="0.25">
      <c r="B59" t="s">
        <v>184</v>
      </c>
      <c r="C59">
        <f>C58/(C54+C50)</f>
        <v>2776.5276262560128</v>
      </c>
    </row>
    <row r="60" spans="1:6" x14ac:dyDescent="0.25">
      <c r="A60" s="5" t="s">
        <v>185</v>
      </c>
      <c r="B60" s="5"/>
      <c r="C60">
        <f>(3527821+3597819+260810+5589045)/C42</f>
        <v>1205462.9328761413</v>
      </c>
      <c r="D60" s="5" t="s">
        <v>190</v>
      </c>
      <c r="E60" s="5"/>
      <c r="F60">
        <f>(248372+672707+79165+1402234)</f>
        <v>2402478</v>
      </c>
    </row>
    <row r="61" spans="1:6" x14ac:dyDescent="0.25">
      <c r="B61" t="s">
        <v>186</v>
      </c>
      <c r="C61">
        <f>E27</f>
        <v>1496427.2649463897</v>
      </c>
      <c r="D61" s="5" t="s">
        <v>191</v>
      </c>
      <c r="E61" s="5"/>
      <c r="F61">
        <f>E34</f>
        <v>2731715</v>
      </c>
    </row>
    <row r="62" spans="1:6" x14ac:dyDescent="0.25">
      <c r="B62" t="s">
        <v>187</v>
      </c>
      <c r="C62">
        <f>C60/C61</f>
        <v>0.80556065845226876</v>
      </c>
      <c r="D62" s="5" t="s">
        <v>192</v>
      </c>
      <c r="E62" s="5"/>
      <c r="F62">
        <f>F60/F61</f>
        <v>0.87947608004495348</v>
      </c>
    </row>
    <row r="63" spans="1:6" x14ac:dyDescent="0.25">
      <c r="B63" s="1" t="s">
        <v>188</v>
      </c>
      <c r="C63">
        <f>C58/C62</f>
        <v>2591919.9914207789</v>
      </c>
      <c r="D63" s="3" t="s">
        <v>193</v>
      </c>
      <c r="E63" s="3"/>
      <c r="F63">
        <f>F58/F62</f>
        <v>7559015.1350792805</v>
      </c>
    </row>
  </sheetData>
  <hyperlinks>
    <hyperlink ref="B47" r:id="rId1" xr:uid="{E4BEADCF-8F16-45DC-817D-FE1FD3FB064D}"/>
    <hyperlink ref="B45" r:id="rId2" xr:uid="{7B7D0923-A61B-48F7-A2E2-86A3AB3E6903}"/>
    <hyperlink ref="B46" r:id="rId3" xr:uid="{D8D85113-E59C-4C4C-B5C9-22FF80BA2B3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8063F-8621-472E-B7CA-29111BDF18DD}">
  <dimension ref="A1:J52"/>
  <sheetViews>
    <sheetView topLeftCell="A4" workbookViewId="0">
      <selection activeCell="E30" sqref="E30"/>
    </sheetView>
  </sheetViews>
  <sheetFormatPr defaultRowHeight="15" x14ac:dyDescent="0.25"/>
  <cols>
    <col min="1" max="2" width="21.42578125" customWidth="1"/>
    <col min="3" max="3" width="13.42578125" customWidth="1"/>
    <col min="4" max="4" width="20.140625" customWidth="1"/>
    <col min="5" max="5" width="18.85546875" customWidth="1"/>
    <col min="6" max="6" width="25.7109375" customWidth="1"/>
  </cols>
  <sheetData>
    <row r="1" spans="1:10" x14ac:dyDescent="0.25">
      <c r="A1" s="1" t="s">
        <v>12</v>
      </c>
      <c r="B1" s="1" t="s">
        <v>236</v>
      </c>
      <c r="C1" s="1" t="s">
        <v>146</v>
      </c>
      <c r="D1" s="1" t="s">
        <v>147</v>
      </c>
      <c r="E1" s="1" t="s">
        <v>156</v>
      </c>
      <c r="F1" s="1" t="s">
        <v>157</v>
      </c>
      <c r="G1" s="1" t="s">
        <v>158</v>
      </c>
      <c r="J1" s="1" t="s">
        <v>233</v>
      </c>
    </row>
    <row r="2" spans="1:10" x14ac:dyDescent="0.25">
      <c r="A2" t="s">
        <v>55</v>
      </c>
      <c r="B2">
        <v>32</v>
      </c>
      <c r="C2" s="1"/>
      <c r="D2" s="1"/>
      <c r="E2">
        <v>60</v>
      </c>
      <c r="F2" s="1"/>
      <c r="G2" s="1"/>
      <c r="J2" s="1"/>
    </row>
    <row r="3" spans="1:10" x14ac:dyDescent="0.25">
      <c r="A3" t="s">
        <v>56</v>
      </c>
      <c r="B3">
        <v>30</v>
      </c>
      <c r="C3" s="1"/>
      <c r="D3" s="1"/>
      <c r="E3">
        <v>44</v>
      </c>
      <c r="F3" s="1"/>
      <c r="G3" s="1"/>
      <c r="J3" s="1"/>
    </row>
    <row r="4" spans="1:10" x14ac:dyDescent="0.25">
      <c r="A4" t="s">
        <v>57</v>
      </c>
      <c r="B4">
        <v>27</v>
      </c>
      <c r="C4" s="1"/>
      <c r="D4" s="1"/>
      <c r="E4">
        <v>22</v>
      </c>
      <c r="F4" s="1"/>
      <c r="G4" s="1"/>
      <c r="J4" s="1"/>
    </row>
    <row r="5" spans="1:10" x14ac:dyDescent="0.25">
      <c r="A5" t="s">
        <v>58</v>
      </c>
      <c r="B5">
        <v>24</v>
      </c>
      <c r="C5" s="1"/>
      <c r="D5" s="1"/>
      <c r="E5">
        <v>16</v>
      </c>
      <c r="F5" s="1"/>
      <c r="G5" s="1"/>
      <c r="J5" s="1"/>
    </row>
    <row r="6" spans="1:10" x14ac:dyDescent="0.25">
      <c r="A6" t="s">
        <v>77</v>
      </c>
      <c r="B6">
        <v>42</v>
      </c>
      <c r="C6" s="12">
        <v>2</v>
      </c>
      <c r="D6" s="1"/>
      <c r="E6">
        <v>15</v>
      </c>
      <c r="F6" s="1"/>
      <c r="G6" s="1"/>
      <c r="J6" t="s">
        <v>234</v>
      </c>
    </row>
    <row r="7" spans="1:10" x14ac:dyDescent="0.25">
      <c r="A7" t="s">
        <v>78</v>
      </c>
      <c r="B7">
        <v>21</v>
      </c>
      <c r="C7" s="12">
        <v>2</v>
      </c>
      <c r="D7" s="1"/>
      <c r="E7">
        <v>20</v>
      </c>
      <c r="F7" s="1"/>
      <c r="G7" s="1"/>
      <c r="J7" t="s">
        <v>234</v>
      </c>
    </row>
    <row r="8" spans="1:10" x14ac:dyDescent="0.25">
      <c r="A8" t="s">
        <v>79</v>
      </c>
      <c r="B8">
        <v>15</v>
      </c>
      <c r="C8" s="12">
        <v>2</v>
      </c>
      <c r="D8" s="1"/>
      <c r="E8">
        <v>24</v>
      </c>
      <c r="F8" s="1"/>
      <c r="G8" s="1"/>
      <c r="J8" t="s">
        <v>234</v>
      </c>
    </row>
    <row r="9" spans="1:10" x14ac:dyDescent="0.25">
      <c r="A9" t="s">
        <v>59</v>
      </c>
      <c r="B9">
        <v>27</v>
      </c>
      <c r="E9">
        <v>22</v>
      </c>
      <c r="J9" t="s">
        <v>234</v>
      </c>
    </row>
    <row r="10" spans="1:10" x14ac:dyDescent="0.25">
      <c r="A10" t="s">
        <v>60</v>
      </c>
      <c r="B10">
        <v>36</v>
      </c>
      <c r="E10">
        <v>18</v>
      </c>
      <c r="J10" t="s">
        <v>234</v>
      </c>
    </row>
    <row r="11" spans="1:10" x14ac:dyDescent="0.25">
      <c r="A11" t="s">
        <v>61</v>
      </c>
      <c r="B11">
        <v>30</v>
      </c>
      <c r="E11">
        <v>26</v>
      </c>
      <c r="J11" t="s">
        <v>234</v>
      </c>
    </row>
    <row r="12" spans="1:10" x14ac:dyDescent="0.25">
      <c r="A12" t="s">
        <v>62</v>
      </c>
      <c r="B12">
        <v>15</v>
      </c>
      <c r="E12">
        <v>10</v>
      </c>
      <c r="J12" t="s">
        <v>234</v>
      </c>
    </row>
    <row r="13" spans="1:10" x14ac:dyDescent="0.25">
      <c r="A13" t="s">
        <v>49</v>
      </c>
      <c r="B13">
        <v>2</v>
      </c>
      <c r="E13">
        <v>2</v>
      </c>
      <c r="J13" t="s">
        <v>234</v>
      </c>
    </row>
    <row r="14" spans="1:10" x14ac:dyDescent="0.25">
      <c r="A14" t="s">
        <v>50</v>
      </c>
      <c r="B14">
        <v>2</v>
      </c>
      <c r="E14">
        <v>5</v>
      </c>
      <c r="J14" t="s">
        <v>234</v>
      </c>
    </row>
    <row r="15" spans="1:10" x14ac:dyDescent="0.25">
      <c r="A15" t="s">
        <v>51</v>
      </c>
      <c r="B15">
        <v>3</v>
      </c>
      <c r="E15">
        <v>10</v>
      </c>
      <c r="J15" t="s">
        <v>234</v>
      </c>
    </row>
    <row r="16" spans="1:10" x14ac:dyDescent="0.25">
      <c r="A16" t="s">
        <v>52</v>
      </c>
      <c r="B16">
        <v>1</v>
      </c>
      <c r="E16">
        <v>4</v>
      </c>
      <c r="J16" t="s">
        <v>234</v>
      </c>
    </row>
    <row r="17" spans="1:10" x14ac:dyDescent="0.25">
      <c r="A17" t="s">
        <v>150</v>
      </c>
      <c r="B17">
        <v>8</v>
      </c>
      <c r="E17">
        <v>3</v>
      </c>
      <c r="J17" t="s">
        <v>234</v>
      </c>
    </row>
    <row r="18" spans="1:10" x14ac:dyDescent="0.25">
      <c r="A18" t="s">
        <v>151</v>
      </c>
      <c r="B18">
        <v>28</v>
      </c>
      <c r="E18">
        <v>5</v>
      </c>
      <c r="J18" t="s">
        <v>234</v>
      </c>
    </row>
    <row r="19" spans="1:10" x14ac:dyDescent="0.25">
      <c r="A19" t="s">
        <v>152</v>
      </c>
      <c r="B19">
        <v>45</v>
      </c>
      <c r="E19">
        <v>7</v>
      </c>
      <c r="J19" t="s">
        <v>234</v>
      </c>
    </row>
    <row r="20" spans="1:10" x14ac:dyDescent="0.25">
      <c r="A20" t="s">
        <v>153</v>
      </c>
      <c r="B20">
        <v>24</v>
      </c>
      <c r="C20">
        <v>1</v>
      </c>
      <c r="D20">
        <f>sources_distweight!H16</f>
        <v>5.547691673005831</v>
      </c>
      <c r="E20">
        <f>MAX(ROUND((D20/D$46)*(C$46/C20)*E$46,0),1)</f>
        <v>6</v>
      </c>
      <c r="J20" t="s">
        <v>234</v>
      </c>
    </row>
    <row r="21" spans="1:10" x14ac:dyDescent="0.25">
      <c r="A21" t="s">
        <v>261</v>
      </c>
      <c r="B21">
        <v>24</v>
      </c>
      <c r="C21">
        <v>1</v>
      </c>
      <c r="E21">
        <v>56</v>
      </c>
      <c r="J21" t="s">
        <v>234</v>
      </c>
    </row>
    <row r="22" spans="1:10" x14ac:dyDescent="0.25">
      <c r="A22" t="s">
        <v>262</v>
      </c>
      <c r="B22">
        <v>30</v>
      </c>
      <c r="C22">
        <v>1</v>
      </c>
      <c r="E22">
        <v>38</v>
      </c>
      <c r="J22" t="s">
        <v>234</v>
      </c>
    </row>
    <row r="23" spans="1:10" x14ac:dyDescent="0.25">
      <c r="A23" t="s">
        <v>263</v>
      </c>
      <c r="B23">
        <v>27</v>
      </c>
      <c r="C23">
        <v>1</v>
      </c>
      <c r="E23">
        <v>22</v>
      </c>
      <c r="J23" t="s">
        <v>234</v>
      </c>
    </row>
    <row r="24" spans="1:10" x14ac:dyDescent="0.25">
      <c r="A24" t="s">
        <v>264</v>
      </c>
      <c r="B24">
        <v>24</v>
      </c>
      <c r="C24">
        <v>1</v>
      </c>
      <c r="E24">
        <v>17</v>
      </c>
      <c r="J24" t="s">
        <v>234</v>
      </c>
    </row>
    <row r="25" spans="1:10" x14ac:dyDescent="0.25">
      <c r="A25" t="s">
        <v>265</v>
      </c>
      <c r="B25">
        <v>4</v>
      </c>
      <c r="C25">
        <v>1</v>
      </c>
      <c r="E25">
        <v>3</v>
      </c>
      <c r="J25" t="s">
        <v>234</v>
      </c>
    </row>
    <row r="26" spans="1:10" x14ac:dyDescent="0.25">
      <c r="A26" t="s">
        <v>16</v>
      </c>
      <c r="B26">
        <v>75</v>
      </c>
      <c r="C26">
        <v>2</v>
      </c>
      <c r="E26">
        <v>48</v>
      </c>
      <c r="J26" t="s">
        <v>234</v>
      </c>
    </row>
    <row r="27" spans="1:10" x14ac:dyDescent="0.25">
      <c r="A27" t="s">
        <v>22</v>
      </c>
      <c r="B27">
        <v>45</v>
      </c>
      <c r="C27">
        <v>2</v>
      </c>
      <c r="E27">
        <v>40</v>
      </c>
      <c r="J27" t="s">
        <v>234</v>
      </c>
    </row>
    <row r="28" spans="1:10" x14ac:dyDescent="0.25">
      <c r="A28" t="s">
        <v>26</v>
      </c>
      <c r="B28">
        <v>10</v>
      </c>
      <c r="C28">
        <v>2</v>
      </c>
      <c r="E28">
        <v>10</v>
      </c>
      <c r="J28" t="s">
        <v>234</v>
      </c>
    </row>
    <row r="29" spans="1:10" x14ac:dyDescent="0.25">
      <c r="A29" t="s">
        <v>27</v>
      </c>
      <c r="B29">
        <v>4</v>
      </c>
      <c r="C29">
        <v>2</v>
      </c>
      <c r="D29">
        <f>sources_distweight!H4</f>
        <v>13.521828226663894</v>
      </c>
      <c r="E29">
        <f>MAX(ROUND((D29/D$46)*(C$46/C29)*E$46,0),1)</f>
        <v>7</v>
      </c>
      <c r="J29" t="s">
        <v>234</v>
      </c>
    </row>
    <row r="30" spans="1:10" x14ac:dyDescent="0.25">
      <c r="A30" t="s">
        <v>21</v>
      </c>
      <c r="B30">
        <v>24</v>
      </c>
      <c r="C30">
        <v>1</v>
      </c>
      <c r="E30">
        <v>16</v>
      </c>
      <c r="J30" t="s">
        <v>234</v>
      </c>
    </row>
    <row r="31" spans="1:10" x14ac:dyDescent="0.25">
      <c r="A31" t="s">
        <v>23</v>
      </c>
      <c r="B31">
        <v>30</v>
      </c>
      <c r="C31">
        <v>1</v>
      </c>
      <c r="E31">
        <v>24</v>
      </c>
      <c r="J31" t="s">
        <v>234</v>
      </c>
    </row>
    <row r="32" spans="1:10" x14ac:dyDescent="0.25">
      <c r="A32" t="s">
        <v>24</v>
      </c>
      <c r="B32">
        <v>27</v>
      </c>
      <c r="C32">
        <v>1</v>
      </c>
      <c r="E32">
        <v>28</v>
      </c>
      <c r="J32" t="s">
        <v>234</v>
      </c>
    </row>
    <row r="33" spans="1:10" x14ac:dyDescent="0.25">
      <c r="A33" t="s">
        <v>25</v>
      </c>
      <c r="B33">
        <v>12</v>
      </c>
      <c r="C33">
        <v>1</v>
      </c>
      <c r="E33">
        <v>20</v>
      </c>
      <c r="J33" t="s">
        <v>234</v>
      </c>
    </row>
    <row r="34" spans="1:10" x14ac:dyDescent="0.25">
      <c r="A34" t="s">
        <v>171</v>
      </c>
      <c r="C34">
        <v>1</v>
      </c>
      <c r="D34">
        <f>sources_distweight!H8</f>
        <v>27.165356426528099</v>
      </c>
      <c r="E34">
        <f>MAX(ROUND((D34/D$46)*(C$46/C34)*E$46,0),1)</f>
        <v>27</v>
      </c>
    </row>
    <row r="35" spans="1:10" x14ac:dyDescent="0.25">
      <c r="A35" t="s">
        <v>58</v>
      </c>
      <c r="C35">
        <v>1</v>
      </c>
    </row>
    <row r="37" spans="1:10" x14ac:dyDescent="0.25">
      <c r="A37" t="s">
        <v>31</v>
      </c>
      <c r="B37">
        <v>12</v>
      </c>
      <c r="C37">
        <v>1</v>
      </c>
      <c r="D37">
        <f>sources_distweight!H12</f>
        <v>17.653657587421211</v>
      </c>
      <c r="E37">
        <f>MAX(ROUND((D37/D$46)*(C$46/C37)*E$46,0),1)</f>
        <v>18</v>
      </c>
    </row>
    <row r="38" spans="1:10" x14ac:dyDescent="0.25">
      <c r="A38" t="s">
        <v>142</v>
      </c>
      <c r="C38">
        <v>1</v>
      </c>
      <c r="D38">
        <f>sources_distweight!H25</f>
        <v>2.882158900710901</v>
      </c>
      <c r="E38">
        <f t="shared" ref="E38:E45" si="0">MAX(ROUND((D38/D$46)*(C$46/C38)*E$46,0),1)</f>
        <v>3</v>
      </c>
    </row>
    <row r="39" spans="1:10" x14ac:dyDescent="0.25">
      <c r="A39" t="s">
        <v>29</v>
      </c>
      <c r="C39">
        <v>4</v>
      </c>
      <c r="D39">
        <f>sources_distweight!H21</f>
        <v>150.72984950165366</v>
      </c>
      <c r="E39">
        <f t="shared" si="0"/>
        <v>38</v>
      </c>
      <c r="G39">
        <v>8.3333300000000001</v>
      </c>
    </row>
    <row r="40" spans="1:10" x14ac:dyDescent="0.25">
      <c r="A40" t="s">
        <v>144</v>
      </c>
      <c r="C40">
        <v>1</v>
      </c>
      <c r="D40">
        <f>sources_distweight!H27</f>
        <v>66.87573364682126</v>
      </c>
      <c r="E40">
        <f t="shared" si="0"/>
        <v>67</v>
      </c>
    </row>
    <row r="41" spans="1:10" x14ac:dyDescent="0.25">
      <c r="A41" t="s">
        <v>154</v>
      </c>
      <c r="C41">
        <v>1</v>
      </c>
      <c r="D41">
        <f>sources_distweight!H26</f>
        <v>10.639730880889884</v>
      </c>
      <c r="E41">
        <f t="shared" si="0"/>
        <v>11</v>
      </c>
    </row>
    <row r="42" spans="1:10" x14ac:dyDescent="0.25">
      <c r="A42" t="s">
        <v>143</v>
      </c>
      <c r="C42">
        <v>1</v>
      </c>
      <c r="D42">
        <f>sources_distweight!H33</f>
        <v>16.984202231931221</v>
      </c>
      <c r="E42">
        <f t="shared" si="0"/>
        <v>17</v>
      </c>
    </row>
    <row r="43" spans="1:10" x14ac:dyDescent="0.25">
      <c r="A43" t="s">
        <v>221</v>
      </c>
      <c r="B43">
        <v>18</v>
      </c>
      <c r="E43">
        <v>18</v>
      </c>
    </row>
    <row r="44" spans="1:10" x14ac:dyDescent="0.25">
      <c r="A44" t="s">
        <v>149</v>
      </c>
      <c r="C44">
        <v>4</v>
      </c>
      <c r="D44">
        <f>sources_distweight!H31 *(50/150)</f>
        <v>60.76307374671223</v>
      </c>
      <c r="E44">
        <f t="shared" si="0"/>
        <v>15</v>
      </c>
      <c r="F44">
        <v>23800</v>
      </c>
      <c r="G44">
        <f>(25/12)*4</f>
        <v>8.3333333333333339</v>
      </c>
    </row>
    <row r="45" spans="1:10" x14ac:dyDescent="0.25">
      <c r="A45" t="s">
        <v>30</v>
      </c>
      <c r="C45">
        <v>12</v>
      </c>
      <c r="D45">
        <f>sources_distweight!H31 *(100/150)</f>
        <v>121.52614749342446</v>
      </c>
      <c r="E45">
        <f t="shared" si="0"/>
        <v>10</v>
      </c>
      <c r="F45">
        <v>23800</v>
      </c>
      <c r="G45">
        <v>25</v>
      </c>
    </row>
    <row r="46" spans="1:10" x14ac:dyDescent="0.25">
      <c r="A46" t="s">
        <v>145</v>
      </c>
      <c r="C46">
        <v>1</v>
      </c>
      <c r="D46">
        <f>sources_distweight!H34</f>
        <v>100</v>
      </c>
      <c r="E46">
        <v>100</v>
      </c>
    </row>
    <row r="47" spans="1:10" x14ac:dyDescent="0.25">
      <c r="A47" t="s">
        <v>148</v>
      </c>
      <c r="C47">
        <v>6</v>
      </c>
      <c r="D47">
        <f>sources_distweight!H37</f>
        <v>276.71316865336541</v>
      </c>
      <c r="E47">
        <f>MAX(ROUND((D47/D$46)*(C$46/C47)*E$46,0),1)</f>
        <v>46</v>
      </c>
    </row>
    <row r="49" spans="1:2" x14ac:dyDescent="0.25">
      <c r="A49" s="1" t="s">
        <v>80</v>
      </c>
    </row>
    <row r="50" spans="1:2" x14ac:dyDescent="0.25">
      <c r="A50" s="1">
        <v>1</v>
      </c>
      <c r="B50" t="s">
        <v>267</v>
      </c>
    </row>
    <row r="51" spans="1:2" x14ac:dyDescent="0.25">
      <c r="B51" t="s">
        <v>268</v>
      </c>
    </row>
    <row r="52" spans="1:2" x14ac:dyDescent="0.25">
      <c r="B52" t="s">
        <v>269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899E8-54B1-43FC-8D0D-AB96EFB28203}">
  <dimension ref="A1:Z222"/>
  <sheetViews>
    <sheetView tabSelected="1" topLeftCell="A94" workbookViewId="0">
      <selection activeCell="K142" sqref="K142"/>
    </sheetView>
  </sheetViews>
  <sheetFormatPr defaultRowHeight="15" x14ac:dyDescent="0.25"/>
  <cols>
    <col min="1" max="1" width="21.42578125" customWidth="1"/>
    <col min="2" max="2" width="14.85546875" customWidth="1"/>
    <col min="3" max="3" width="15.5703125" customWidth="1"/>
  </cols>
  <sheetData>
    <row r="1" spans="1:26" x14ac:dyDescent="0.25">
      <c r="A1" s="1" t="s">
        <v>12</v>
      </c>
      <c r="B1" s="1" t="s">
        <v>103</v>
      </c>
      <c r="C1" s="7" t="s">
        <v>104</v>
      </c>
      <c r="K1" s="7" t="s">
        <v>108</v>
      </c>
      <c r="L1" s="1"/>
      <c r="M1" s="1"/>
      <c r="N1" s="1"/>
      <c r="O1" s="1"/>
      <c r="S1" s="7" t="s">
        <v>105</v>
      </c>
    </row>
    <row r="2" spans="1:26" x14ac:dyDescent="0.25">
      <c r="C2" s="8" t="s">
        <v>2</v>
      </c>
      <c r="D2" t="s">
        <v>72</v>
      </c>
      <c r="E2" t="s">
        <v>3</v>
      </c>
      <c r="F2" t="s">
        <v>4</v>
      </c>
      <c r="G2" t="s">
        <v>5</v>
      </c>
      <c r="H2" t="s">
        <v>6</v>
      </c>
      <c r="I2" t="s">
        <v>224</v>
      </c>
      <c r="J2" t="s">
        <v>225</v>
      </c>
      <c r="K2" s="8" t="s">
        <v>2</v>
      </c>
      <c r="L2" t="s">
        <v>72</v>
      </c>
      <c r="M2" t="s">
        <v>3</v>
      </c>
      <c r="N2" t="s">
        <v>4</v>
      </c>
      <c r="O2" t="s">
        <v>5</v>
      </c>
      <c r="P2" t="s">
        <v>6</v>
      </c>
      <c r="Q2" t="s">
        <v>224</v>
      </c>
      <c r="R2" t="s">
        <v>225</v>
      </c>
      <c r="S2" s="8" t="s">
        <v>2</v>
      </c>
      <c r="T2" t="s">
        <v>72</v>
      </c>
      <c r="U2" t="s">
        <v>3</v>
      </c>
      <c r="V2" t="s">
        <v>4</v>
      </c>
      <c r="W2" t="s">
        <v>5</v>
      </c>
      <c r="X2" t="s">
        <v>6</v>
      </c>
      <c r="Y2" t="s">
        <v>224</v>
      </c>
      <c r="Z2" t="s">
        <v>225</v>
      </c>
    </row>
    <row r="3" spans="1:26" x14ac:dyDescent="0.25">
      <c r="A3" t="s">
        <v>16</v>
      </c>
      <c r="B3">
        <f>SUMPRODUCT(S3:X3,G44:L44)/SUM(G44:L44)</f>
        <v>0.71716910074529039</v>
      </c>
      <c r="C3" s="8">
        <f>meat!H2</f>
        <v>48</v>
      </c>
      <c r="E3">
        <f>fish!H2</f>
        <v>9</v>
      </c>
      <c r="G3">
        <f>vegetables!H2</f>
        <v>93</v>
      </c>
      <c r="H3">
        <f>fruit!H2</f>
        <v>48</v>
      </c>
      <c r="K3" s="8">
        <f>meat!I2</f>
        <v>75.369694767051854</v>
      </c>
      <c r="M3">
        <f>fish!I2</f>
        <v>23.446291081078762</v>
      </c>
      <c r="O3">
        <f>vegetables!I2</f>
        <v>27.84404534606206</v>
      </c>
      <c r="P3">
        <f>fruit!I2</f>
        <v>15.339450753374837</v>
      </c>
      <c r="S3" s="8">
        <f>K3/C3</f>
        <v>1.5702019743135802</v>
      </c>
      <c r="U3">
        <f>M3/E3</f>
        <v>2.6051434534531959</v>
      </c>
      <c r="W3">
        <f>O3/G3</f>
        <v>0.29939833705443075</v>
      </c>
      <c r="X3">
        <f>P3/H3</f>
        <v>0.31957189069530911</v>
      </c>
    </row>
    <row r="4" spans="1:26" x14ac:dyDescent="0.25">
      <c r="A4" t="s">
        <v>77</v>
      </c>
      <c r="B4">
        <f>SUMPRODUCT(S4:X4,G45:L45)/SUM(G45:L45)</f>
        <v>0.32794959642857147</v>
      </c>
      <c r="C4" s="8"/>
      <c r="D4">
        <f>milk!H2</f>
        <v>210</v>
      </c>
      <c r="K4" s="8"/>
      <c r="L4">
        <f>milk!I2</f>
        <v>68.869415250000003</v>
      </c>
      <c r="S4" s="8"/>
      <c r="T4">
        <f>L4/D4</f>
        <v>0.32794959642857147</v>
      </c>
    </row>
    <row r="5" spans="1:26" x14ac:dyDescent="0.25">
      <c r="A5" t="s">
        <v>150</v>
      </c>
      <c r="B5">
        <f>SUMPRODUCT(S5:Z5,G46:N46)/SUM(G46:N46)</f>
        <v>0.44570250875086187</v>
      </c>
      <c r="C5" s="8"/>
      <c r="I5">
        <f>canned!H2</f>
        <v>10.56</v>
      </c>
      <c r="K5" s="8"/>
      <c r="Q5">
        <f>canned!I2</f>
        <v>4.7066184924091017</v>
      </c>
      <c r="S5" s="8"/>
      <c r="Y5">
        <f>Q5/I5</f>
        <v>0.44570250875086187</v>
      </c>
    </row>
    <row r="6" spans="1:26" x14ac:dyDescent="0.25">
      <c r="A6" t="s">
        <v>49</v>
      </c>
      <c r="B6">
        <f>SUMPRODUCT(S6:Z6,G47:N47)/SUM(G47:N47)</f>
        <v>1.3290775467472065</v>
      </c>
      <c r="C6" s="8"/>
      <c r="E6">
        <f>fish!H3</f>
        <v>4</v>
      </c>
      <c r="K6" s="8"/>
      <c r="M6">
        <f>fish!I3</f>
        <v>5.3163101869888258</v>
      </c>
      <c r="S6" s="8"/>
      <c r="U6">
        <f>M6/E6</f>
        <v>1.3290775467472065</v>
      </c>
    </row>
    <row r="7" spans="1:26" x14ac:dyDescent="0.25">
      <c r="A7" t="s">
        <v>59</v>
      </c>
      <c r="B7">
        <f>SUMPRODUCT(S7:X7,G48:L48)/SUM(G48:L48)</f>
        <v>0.97241518943021343</v>
      </c>
      <c r="C7" s="8"/>
      <c r="G7">
        <f>vegetables!H3</f>
        <v>27</v>
      </c>
      <c r="H7">
        <f>fruit!H3</f>
        <v>27</v>
      </c>
      <c r="K7" s="8"/>
      <c r="O7">
        <f>vegetables!I3</f>
        <v>45.210693066090684</v>
      </c>
      <c r="P7">
        <f>fruit!I3</f>
        <v>7.2997271631408456</v>
      </c>
      <c r="S7" s="8"/>
      <c r="W7">
        <f>O7/G7</f>
        <v>1.6744701135589142</v>
      </c>
      <c r="X7">
        <f>P7/H7</f>
        <v>0.2703602653015128</v>
      </c>
    </row>
    <row r="8" spans="1:26" x14ac:dyDescent="0.25">
      <c r="A8" t="s">
        <v>55</v>
      </c>
      <c r="B8">
        <f>AVERAGE(S8:V8)</f>
        <v>6.2859923744149793</v>
      </c>
      <c r="C8" s="8"/>
      <c r="F8">
        <f>flour!H2</f>
        <v>32</v>
      </c>
      <c r="K8" s="8"/>
      <c r="N8">
        <f>flour!I2</f>
        <v>201.15175598127934</v>
      </c>
      <c r="S8" s="8"/>
      <c r="V8">
        <f>N8/F8</f>
        <v>6.2859923744149793</v>
      </c>
    </row>
    <row r="9" spans="1:26" x14ac:dyDescent="0.25">
      <c r="A9" t="s">
        <v>21</v>
      </c>
      <c r="B9">
        <f>AVERAGE(S9:V9)</f>
        <v>0.63929651811338672</v>
      </c>
      <c r="C9" s="8">
        <f>meat!H3</f>
        <v>24</v>
      </c>
      <c r="K9" s="8">
        <f>meat!I3</f>
        <v>15.343116434721281</v>
      </c>
      <c r="S9" s="8">
        <f>K9/C9</f>
        <v>0.63929651811338672</v>
      </c>
    </row>
    <row r="10" spans="1:26" x14ac:dyDescent="0.25">
      <c r="A10" t="s">
        <v>261</v>
      </c>
      <c r="B10">
        <f>AVERAGE(S10:Z10)</f>
        <v>5.3631284331215303</v>
      </c>
      <c r="C10" s="8"/>
      <c r="J10">
        <f>beer!H2</f>
        <v>32.159999999999997</v>
      </c>
      <c r="K10" s="8"/>
      <c r="R10">
        <f>beer!I2</f>
        <v>172.47821040918839</v>
      </c>
      <c r="S10" s="8"/>
      <c r="Z10">
        <f>R10/J10</f>
        <v>5.3631284331215303</v>
      </c>
    </row>
    <row r="11" spans="1:26" x14ac:dyDescent="0.25">
      <c r="A11" t="s">
        <v>22</v>
      </c>
      <c r="B11">
        <f>SUMPRODUCT(S11:X11,G52:L52)/SUM(G52:L52)</f>
        <v>0.73700389607067562</v>
      </c>
      <c r="C11" s="8">
        <f>meat!H4</f>
        <v>57.6</v>
      </c>
      <c r="E11">
        <f>fish!H4</f>
        <v>10.8</v>
      </c>
      <c r="G11">
        <f>vegetables!H4</f>
        <v>111.6</v>
      </c>
      <c r="H11">
        <f>fruit!H4</f>
        <v>57.6</v>
      </c>
      <c r="K11" s="8">
        <f>meat!I4</f>
        <v>55.703258377398392</v>
      </c>
      <c r="M11">
        <f>fish!I4</f>
        <v>19.075015323285989</v>
      </c>
      <c r="O11">
        <f>vegetables!I4</f>
        <v>88.030130399498645</v>
      </c>
      <c r="P11">
        <f>fruit!I4</f>
        <v>12.303721606209509</v>
      </c>
      <c r="S11" s="8">
        <f>K11/C11</f>
        <v>0.96707045794094426</v>
      </c>
      <c r="U11">
        <f>M11/E11</f>
        <v>1.7662051225264803</v>
      </c>
      <c r="W11">
        <f>O11/G11</f>
        <v>0.78880045160841084</v>
      </c>
      <c r="X11">
        <f>P11/H11</f>
        <v>0.21360627788558173</v>
      </c>
    </row>
    <row r="12" spans="1:26" x14ac:dyDescent="0.25">
      <c r="A12" t="s">
        <v>78</v>
      </c>
      <c r="B12">
        <f>SUMPRODUCT(S12:Z12,G54:N54)/SUM(G54:N54)</f>
        <v>0.5957751239042206</v>
      </c>
      <c r="C12" s="8"/>
      <c r="D12">
        <f>milk!H3</f>
        <v>210</v>
      </c>
      <c r="K12" s="8"/>
      <c r="L12">
        <f>milk!I3</f>
        <v>125.11277601988633</v>
      </c>
      <c r="S12" s="8"/>
      <c r="T12">
        <f>L12/D12</f>
        <v>0.5957751239042206</v>
      </c>
    </row>
    <row r="13" spans="1:26" x14ac:dyDescent="0.25">
      <c r="A13" t="s">
        <v>151</v>
      </c>
      <c r="B13">
        <f>SUMPRODUCT(S13:Z13,G53:N53)/SUM(G53:N53)</f>
        <v>0.35656200700069107</v>
      </c>
      <c r="C13" s="8"/>
      <c r="I13">
        <f>canned!H3</f>
        <v>36.96</v>
      </c>
      <c r="K13" s="8"/>
      <c r="Q13">
        <f>canned!I3</f>
        <v>13.178531778745542</v>
      </c>
      <c r="S13" s="8"/>
      <c r="Y13">
        <f>Q13/I13</f>
        <v>0.35656200700069107</v>
      </c>
    </row>
    <row r="14" spans="1:26" x14ac:dyDescent="0.25">
      <c r="A14" t="s">
        <v>50</v>
      </c>
      <c r="B14">
        <f>SUMPRODUCT(S14:Z14,G55:N55)/SUM(G55:N55)</f>
        <v>1.7662051225264803</v>
      </c>
      <c r="C14" s="8"/>
      <c r="E14">
        <f>fish!H5</f>
        <v>10</v>
      </c>
      <c r="K14" s="8"/>
      <c r="M14">
        <f>fish!I5</f>
        <v>17.662051225264804</v>
      </c>
      <c r="S14" s="8"/>
      <c r="U14">
        <f>M14/E14</f>
        <v>1.7662051225264803</v>
      </c>
    </row>
    <row r="15" spans="1:26" x14ac:dyDescent="0.25">
      <c r="A15" t="s">
        <v>114</v>
      </c>
      <c r="B15">
        <f>SUMPRODUCT(S15:X15,G56:L56)/SUM(G56:L56)</f>
        <v>0.46011806662393706</v>
      </c>
      <c r="C15" s="8"/>
      <c r="G15">
        <f>vegetables!H5</f>
        <v>54</v>
      </c>
      <c r="H15">
        <f>fruit!H5</f>
        <v>72</v>
      </c>
      <c r="K15" s="8"/>
      <c r="O15">
        <f>vegetables!I5</f>
        <v>42.595224386854184</v>
      </c>
      <c r="P15">
        <f>fruit!I5</f>
        <v>15.379652007761884</v>
      </c>
      <c r="S15" s="8"/>
      <c r="W15">
        <f>O15/G15</f>
        <v>0.78880045160841084</v>
      </c>
      <c r="X15">
        <f>P15/H15</f>
        <v>0.21360627788558173</v>
      </c>
    </row>
    <row r="16" spans="1:26" x14ac:dyDescent="0.25">
      <c r="A16" t="s">
        <v>56</v>
      </c>
      <c r="B16">
        <f>AVERAGE(S16:V16)</f>
        <v>2.8286965684867407</v>
      </c>
      <c r="C16" s="8"/>
      <c r="F16">
        <f>flour!H3</f>
        <v>60</v>
      </c>
      <c r="K16" s="8"/>
      <c r="N16">
        <f>flour!I3</f>
        <v>169.72179410920444</v>
      </c>
      <c r="S16" s="8"/>
      <c r="V16">
        <f>N16/F16</f>
        <v>2.8286965684867407</v>
      </c>
    </row>
    <row r="17" spans="1:26" x14ac:dyDescent="0.25">
      <c r="A17" t="s">
        <v>23</v>
      </c>
      <c r="B17">
        <f>AVERAGE(S17:V17)</f>
        <v>0.96707045794094426</v>
      </c>
      <c r="C17" s="8">
        <f>meat!H5</f>
        <v>60</v>
      </c>
      <c r="K17" s="8">
        <f>meat!I5</f>
        <v>58.024227476456659</v>
      </c>
      <c r="S17" s="8">
        <f>K17/C17</f>
        <v>0.96707045794094426</v>
      </c>
    </row>
    <row r="18" spans="1:26" x14ac:dyDescent="0.25">
      <c r="A18" t="s">
        <v>262</v>
      </c>
      <c r="B18">
        <f>AVERAGE(S18:Z18)</f>
        <v>0.926858552123213</v>
      </c>
      <c r="C18" s="8"/>
      <c r="J18">
        <f>beer!H3</f>
        <v>144</v>
      </c>
      <c r="K18" s="8"/>
      <c r="R18">
        <f>beer!I3</f>
        <v>133.46763150574267</v>
      </c>
      <c r="S18" s="8"/>
      <c r="Z18">
        <f>R18/J18</f>
        <v>0.926858552123213</v>
      </c>
    </row>
    <row r="19" spans="1:26" x14ac:dyDescent="0.25">
      <c r="A19" t="s">
        <v>26</v>
      </c>
      <c r="B19">
        <f>SUMPRODUCT(S19:X19,G60:L60)/SUM(G60:L60)</f>
        <v>1.2414611391492751</v>
      </c>
      <c r="C19" s="8">
        <f>meat!H6</f>
        <v>12.8</v>
      </c>
      <c r="E19">
        <f>fish!H6</f>
        <v>2.4</v>
      </c>
      <c r="G19">
        <f>vegetables!H6</f>
        <v>24.8</v>
      </c>
      <c r="H19">
        <f>fruit!H6</f>
        <v>12.8</v>
      </c>
      <c r="K19" s="8">
        <f>meat!I6</f>
        <v>14.635521090379783</v>
      </c>
      <c r="M19">
        <f>fish!I6</f>
        <v>3.4169788552269935</v>
      </c>
      <c r="O19">
        <f>vegetables!I6</f>
        <v>43.011292804650225</v>
      </c>
      <c r="P19">
        <f>fruit!I6</f>
        <v>4.4853553968247253</v>
      </c>
      <c r="S19" s="8">
        <f>K19/C19</f>
        <v>1.1434000851859205</v>
      </c>
      <c r="U19">
        <f>M19/E19</f>
        <v>1.423741189677914</v>
      </c>
      <c r="W19">
        <f>O19/G19</f>
        <v>1.7343263227681542</v>
      </c>
      <c r="X19">
        <f>P19/H19</f>
        <v>0.35041839037693162</v>
      </c>
    </row>
    <row r="20" spans="1:26" x14ac:dyDescent="0.25">
      <c r="A20" t="s">
        <v>79</v>
      </c>
      <c r="B20">
        <f>SUMPRODUCT(S20:Z20,G62:N62)/SUM(G62:N62)</f>
        <v>0.97831014237662317</v>
      </c>
      <c r="C20" s="8"/>
      <c r="D20">
        <f>milk!H4</f>
        <v>225</v>
      </c>
      <c r="K20" s="8"/>
      <c r="L20">
        <f>milk!I4</f>
        <v>220.11978203474021</v>
      </c>
      <c r="S20" s="8"/>
      <c r="T20">
        <f>L20/D20</f>
        <v>0.97831014237662317</v>
      </c>
    </row>
    <row r="21" spans="1:26" x14ac:dyDescent="0.25">
      <c r="A21" t="s">
        <v>152</v>
      </c>
      <c r="B21">
        <f>SUMPRODUCT(S21:Z21,G61:N61)/SUM(G61:N61)</f>
        <v>0.17907336351590294</v>
      </c>
      <c r="C21" s="8"/>
      <c r="I21">
        <f>canned!H4</f>
        <v>118.8</v>
      </c>
      <c r="K21" s="8"/>
      <c r="Q21">
        <f>canned!I4</f>
        <v>21.27391558568927</v>
      </c>
      <c r="S21" s="8"/>
      <c r="Y21">
        <f>Q21/I21</f>
        <v>0.17907336351590294</v>
      </c>
    </row>
    <row r="22" spans="1:26" x14ac:dyDescent="0.25">
      <c r="A22" t="s">
        <v>51</v>
      </c>
      <c r="B22">
        <f>SUMPRODUCT(S22:Z22,G63:N63)/SUM(G63:N63)</f>
        <v>1.4237411896779142</v>
      </c>
      <c r="C22" s="8"/>
      <c r="E22">
        <f>fish!H7</f>
        <v>30</v>
      </c>
      <c r="K22" s="8"/>
      <c r="M22">
        <f>fish!I7</f>
        <v>42.712235690337423</v>
      </c>
      <c r="S22" s="8"/>
      <c r="U22">
        <f>M22/E22</f>
        <v>1.4237411896779142</v>
      </c>
    </row>
    <row r="23" spans="1:26" x14ac:dyDescent="0.25">
      <c r="A23" t="s">
        <v>61</v>
      </c>
      <c r="B23">
        <f>SUMPRODUCT(S23:Z23,G64:N64)/SUM(G64:N64)</f>
        <v>0.90563893810275153</v>
      </c>
      <c r="C23" s="8"/>
      <c r="G23">
        <f>vegetables!H7</f>
        <v>80.400000000000006</v>
      </c>
      <c r="H23">
        <f>fruit!H7</f>
        <v>120</v>
      </c>
      <c r="K23" s="8"/>
      <c r="O23">
        <f>vegetables!I7</f>
        <v>139.4398363505596</v>
      </c>
      <c r="P23">
        <f>fruit!I7</f>
        <v>42.050206845231791</v>
      </c>
      <c r="S23" s="8"/>
      <c r="W23">
        <f>O23/G23</f>
        <v>1.7343263227681542</v>
      </c>
      <c r="X23">
        <f>P23/H23</f>
        <v>0.35041839037693162</v>
      </c>
    </row>
    <row r="24" spans="1:26" x14ac:dyDescent="0.25">
      <c r="A24" t="s">
        <v>57</v>
      </c>
      <c r="B24">
        <f>SUMPRODUCT(S24:Z24,G65:N65)/SUM(G65:N65)</f>
        <v>1.2277825434894951</v>
      </c>
      <c r="C24" s="8"/>
      <c r="F24">
        <f>flour!H4</f>
        <v>81</v>
      </c>
      <c r="K24" s="8"/>
      <c r="N24">
        <f>flour!I4</f>
        <v>99.450386022649099</v>
      </c>
      <c r="S24" s="8"/>
      <c r="V24">
        <f>N24/F24</f>
        <v>1.2277825434894951</v>
      </c>
    </row>
    <row r="25" spans="1:26" x14ac:dyDescent="0.25">
      <c r="A25" t="s">
        <v>24</v>
      </c>
      <c r="B25">
        <f>SUMPRODUCT(S25:Z25,G66:N66)/SUM(G66:N66)</f>
        <v>1.1434000851859205</v>
      </c>
      <c r="C25" s="8">
        <f>meat!H7</f>
        <v>81</v>
      </c>
      <c r="K25" s="8">
        <f>meat!I7</f>
        <v>92.615406900059568</v>
      </c>
      <c r="S25" s="8">
        <f>K25/C25</f>
        <v>1.1434000851859205</v>
      </c>
    </row>
    <row r="26" spans="1:26" x14ac:dyDescent="0.25">
      <c r="A26" t="s">
        <v>263</v>
      </c>
      <c r="B26">
        <f>AVERAGE(S26:Z26)</f>
        <v>0.66975840128109587</v>
      </c>
      <c r="C26" s="8"/>
      <c r="J26">
        <f>beer!H4</f>
        <v>162</v>
      </c>
      <c r="K26" s="8"/>
      <c r="R26">
        <f>beer!I4</f>
        <v>108.50086100753754</v>
      </c>
      <c r="S26" s="8"/>
      <c r="Z26">
        <f>R26/J26</f>
        <v>0.66975840128109587</v>
      </c>
    </row>
    <row r="27" spans="1:26" x14ac:dyDescent="0.25">
      <c r="A27" t="s">
        <v>27</v>
      </c>
      <c r="B27">
        <f>SUMPRODUCT(S27:Z27,G68:N68)/SUM(G68:N68)</f>
        <v>1.9965875818840439</v>
      </c>
      <c r="C27" s="8">
        <f>meat!H8</f>
        <v>7.68</v>
      </c>
      <c r="E27">
        <f>fish!H8</f>
        <v>1.44</v>
      </c>
      <c r="G27">
        <f>vegetables!H8</f>
        <v>14.88</v>
      </c>
      <c r="H27">
        <f>fruit!H8</f>
        <v>7.68</v>
      </c>
      <c r="K27" s="8">
        <f>meat!I8</f>
        <v>13.136349391792882</v>
      </c>
      <c r="M27">
        <f>fish!I8</f>
        <v>5.5580668335967118</v>
      </c>
      <c r="O27">
        <f>vegetables!I8</f>
        <v>38.255998031529593</v>
      </c>
      <c r="P27">
        <f>fruit!I8</f>
        <v>6.3014803371673169</v>
      </c>
      <c r="S27" s="8">
        <f>K27/C27</f>
        <v>1.7104621603896981</v>
      </c>
      <c r="U27">
        <f>M27/E27</f>
        <v>3.8597686344421613</v>
      </c>
      <c r="W27">
        <f>O27/G27</f>
        <v>2.5709676096458058</v>
      </c>
      <c r="X27">
        <f>P27/H27</f>
        <v>0.82050525223532778</v>
      </c>
    </row>
    <row r="28" spans="1:26" x14ac:dyDescent="0.25">
      <c r="A28" t="s">
        <v>153</v>
      </c>
      <c r="B28">
        <f>SUMPRODUCT(S28:Z28,G69:N69)/SUM(G69:N69)</f>
        <v>0.40027552583561027</v>
      </c>
      <c r="C28" s="8"/>
      <c r="I28">
        <f>canned!H5</f>
        <v>63.36</v>
      </c>
      <c r="K28" s="8"/>
      <c r="Q28">
        <f>canned!I5</f>
        <v>25.361457316944268</v>
      </c>
      <c r="S28" s="8"/>
      <c r="Y28">
        <f>Q28/I28</f>
        <v>0.40027552583561027</v>
      </c>
    </row>
    <row r="29" spans="1:26" x14ac:dyDescent="0.25">
      <c r="A29" t="s">
        <v>52</v>
      </c>
      <c r="B29">
        <f>SUMPRODUCT(S29:Z29,G70:N70)/SUM(G70:N70)</f>
        <v>1.3853784083161085</v>
      </c>
      <c r="C29" s="8"/>
      <c r="E29">
        <f>fish!H9</f>
        <v>15</v>
      </c>
      <c r="K29" s="8"/>
      <c r="M29">
        <f>fish!I9</f>
        <v>20.780676124741628</v>
      </c>
      <c r="S29" s="8"/>
      <c r="U29">
        <f>M29/E29</f>
        <v>1.3853784083161085</v>
      </c>
    </row>
    <row r="30" spans="1:26" x14ac:dyDescent="0.25">
      <c r="A30" t="s">
        <v>62</v>
      </c>
      <c r="B30">
        <f>SUMPRODUCT(S30:X30,G71:L71)/SUM(G71:L71)</f>
        <v>0.57608127239697327</v>
      </c>
      <c r="C30" s="8"/>
      <c r="G30">
        <f>vegetables!H9</f>
        <v>60.3</v>
      </c>
      <c r="H30">
        <f>fruit!H9</f>
        <v>90</v>
      </c>
      <c r="K30" s="8"/>
      <c r="O30">
        <f>vegetables!I9</f>
        <v>60.069925727474626</v>
      </c>
      <c r="P30">
        <f>fruit!I9</f>
        <v>26.51508951379045</v>
      </c>
      <c r="S30" s="8"/>
      <c r="W30">
        <f>O30/G30</f>
        <v>0.99618450625994415</v>
      </c>
      <c r="X30">
        <f>P30/H30</f>
        <v>0.29461210570878277</v>
      </c>
    </row>
    <row r="31" spans="1:26" x14ac:dyDescent="0.25">
      <c r="A31" t="s">
        <v>58</v>
      </c>
      <c r="B31">
        <f>AVERAGE(S31:V31)</f>
        <v>0.88323305552740905</v>
      </c>
      <c r="C31" s="8"/>
      <c r="F31">
        <f>flour!H5</f>
        <v>96</v>
      </c>
      <c r="K31" s="8"/>
      <c r="N31">
        <f>flour!I5</f>
        <v>84.790373330631269</v>
      </c>
      <c r="S31" s="8"/>
      <c r="V31">
        <f>N31/F31</f>
        <v>0.88323305552740905</v>
      </c>
    </row>
    <row r="32" spans="1:26" x14ac:dyDescent="0.25">
      <c r="A32" t="s">
        <v>25</v>
      </c>
      <c r="B32">
        <f>AVERAGE(S32:V32)</f>
        <v>1.7104621603896983</v>
      </c>
      <c r="C32" s="8">
        <f>meat!H9</f>
        <v>48</v>
      </c>
      <c r="K32" s="8">
        <f>meat!I9</f>
        <v>82.102183698705517</v>
      </c>
      <c r="S32" s="8">
        <f>K32/C32</f>
        <v>1.7104621603896983</v>
      </c>
    </row>
    <row r="33" spans="1:26" x14ac:dyDescent="0.25">
      <c r="A33" t="s">
        <v>264</v>
      </c>
      <c r="B33">
        <f>AVERAGE(S33:Z33)</f>
        <v>0.53128358382046204</v>
      </c>
      <c r="C33" s="8"/>
      <c r="J33">
        <f>beer!H5</f>
        <v>168</v>
      </c>
      <c r="K33" s="8"/>
      <c r="R33">
        <f>beer!I5</f>
        <v>89.255642081837621</v>
      </c>
      <c r="S33" s="8"/>
      <c r="Z33">
        <f>R33/J33</f>
        <v>0.53128358382046204</v>
      </c>
    </row>
    <row r="34" spans="1:26" x14ac:dyDescent="0.25">
      <c r="A34" t="s">
        <v>31</v>
      </c>
      <c r="B34">
        <f>SUMPRODUCT(S34:Z34,G75:N75)/SUM(G75:N75)</f>
        <v>0.72314114492305803</v>
      </c>
      <c r="C34" s="8">
        <f>meat!H10</f>
        <v>13.44</v>
      </c>
      <c r="D34">
        <f>milk!H5</f>
        <v>11.76</v>
      </c>
      <c r="E34">
        <f>fish!H10</f>
        <v>2.52</v>
      </c>
      <c r="F34">
        <f>flour!H6</f>
        <v>11.76</v>
      </c>
      <c r="G34">
        <f>vegetables!H10</f>
        <v>26.04</v>
      </c>
      <c r="H34">
        <f>fruit!H10</f>
        <v>13.44</v>
      </c>
      <c r="I34">
        <f>canned!H6</f>
        <v>16.8</v>
      </c>
      <c r="K34" s="8">
        <f>meat!I10</f>
        <v>7.5049025647819425</v>
      </c>
      <c r="L34">
        <f>milk!I5</f>
        <v>17.686068336097772</v>
      </c>
      <c r="M34">
        <f>fish!I10</f>
        <v>3.3662851124201549</v>
      </c>
      <c r="N34">
        <f>flour!I6</f>
        <v>3.0075166372730422</v>
      </c>
      <c r="O34">
        <f>vegetables!I10</f>
        <v>24.946289367150037</v>
      </c>
      <c r="P34">
        <f>fruit!I10</f>
        <v>3.9595867007260401</v>
      </c>
      <c r="Q34">
        <f>canned!I6</f>
        <v>8.7773473193830416</v>
      </c>
      <c r="S34" s="8">
        <f>K34/C34</f>
        <v>0.5584004884510374</v>
      </c>
      <c r="T34">
        <f t="shared" ref="T34:Y35" si="0">L34/D34</f>
        <v>1.503917375518518</v>
      </c>
      <c r="U34">
        <f t="shared" si="0"/>
        <v>1.3358274255635536</v>
      </c>
      <c r="V34">
        <f t="shared" si="0"/>
        <v>0.25574121065246957</v>
      </c>
      <c r="W34">
        <f t="shared" si="0"/>
        <v>0.95799882362327338</v>
      </c>
      <c r="X34">
        <f t="shared" si="0"/>
        <v>0.29461210570878277</v>
      </c>
      <c r="Y34">
        <f t="shared" si="0"/>
        <v>0.52246114996327631</v>
      </c>
    </row>
    <row r="35" spans="1:26" x14ac:dyDescent="0.25">
      <c r="A35" t="s">
        <v>29</v>
      </c>
      <c r="B35">
        <f>SUMPRODUCT(S35:Z35,G76:N76)/SUM(G76:N76)</f>
        <v>2.6027531168017206</v>
      </c>
      <c r="C35" s="8">
        <f>meat!H11</f>
        <v>31.36</v>
      </c>
      <c r="D35">
        <f>milk!H6</f>
        <v>27.44</v>
      </c>
      <c r="E35">
        <f>fish!H11</f>
        <v>5.88</v>
      </c>
      <c r="F35">
        <f>flour!H7</f>
        <v>27.44</v>
      </c>
      <c r="G35">
        <f>vegetables!H11</f>
        <v>60.76</v>
      </c>
      <c r="H35">
        <f>fruit!H11</f>
        <v>31.36</v>
      </c>
      <c r="I35">
        <f>canned!H7</f>
        <v>39.200000000000003</v>
      </c>
      <c r="K35" s="8">
        <f>meat!I11</f>
        <v>112.20901016112167</v>
      </c>
      <c r="L35">
        <f>milk!I6</f>
        <v>288.825012453976</v>
      </c>
      <c r="M35">
        <f>fish!I11</f>
        <v>8.0250334471527562</v>
      </c>
      <c r="N35">
        <f>flour!I7</f>
        <v>64.088051984364796</v>
      </c>
      <c r="O35">
        <f>vegetables!I11</f>
        <v>63.398970220979102</v>
      </c>
      <c r="P35">
        <f>fruit!I11</f>
        <v>9.7826891145005241</v>
      </c>
      <c r="Q35">
        <f>canned!I7</f>
        <v>35.230389036081498</v>
      </c>
      <c r="S35" s="8">
        <f>K35/C35</f>
        <v>3.5780934362602572</v>
      </c>
      <c r="T35">
        <f t="shared" si="0"/>
        <v>10.525692873687172</v>
      </c>
      <c r="U35">
        <f t="shared" si="0"/>
        <v>1.3648016066586319</v>
      </c>
      <c r="V35">
        <f t="shared" si="0"/>
        <v>2.3355704075934693</v>
      </c>
      <c r="W35">
        <f t="shared" si="0"/>
        <v>1.0434326896145343</v>
      </c>
      <c r="X35">
        <f t="shared" si="0"/>
        <v>0.31194799472259327</v>
      </c>
      <c r="Y35">
        <f t="shared" si="0"/>
        <v>0.89873441418575239</v>
      </c>
    </row>
    <row r="36" spans="1:26" x14ac:dyDescent="0.25">
      <c r="A36" t="s">
        <v>154</v>
      </c>
      <c r="B36">
        <f>SUMPRODUCT(S36:Z36,G77:N77)/SUM(G77:N77)</f>
        <v>2.905837642187858</v>
      </c>
      <c r="C36" s="8"/>
      <c r="D36">
        <f>milk!H7</f>
        <v>2.88</v>
      </c>
      <c r="I36">
        <f>canned!H8</f>
        <v>4.16</v>
      </c>
      <c r="K36" s="8"/>
      <c r="L36">
        <f>milk!I7</f>
        <v>16.869361903246812</v>
      </c>
      <c r="Q36">
        <f>canned!I8</f>
        <v>3.5877350977557074</v>
      </c>
      <c r="S36" s="8"/>
      <c r="T36">
        <f>L36/D36</f>
        <v>5.857417327516254</v>
      </c>
      <c r="Y36">
        <f>Q36/I36</f>
        <v>0.86243632157589123</v>
      </c>
    </row>
    <row r="37" spans="1:26" x14ac:dyDescent="0.25">
      <c r="A37" t="s">
        <v>221</v>
      </c>
      <c r="B37">
        <f>SUMPRODUCT(S37:Z37,G78:N78)/SUM(G78:N78)</f>
        <v>0.91693792296356436</v>
      </c>
      <c r="C37" s="8"/>
      <c r="I37">
        <f>canned!H9</f>
        <v>28.8</v>
      </c>
      <c r="J37">
        <f>beer!H7</f>
        <v>11.52</v>
      </c>
      <c r="K37" s="8"/>
      <c r="Q37">
        <f>canned!I9</f>
        <v>24.838166061385667</v>
      </c>
      <c r="R37">
        <f>beer!I7</f>
        <v>12.132770992505247</v>
      </c>
      <c r="S37" s="8"/>
      <c r="Y37">
        <f>Q37/I37</f>
        <v>0.86243632157589123</v>
      </c>
      <c r="Z37">
        <f>R37/J37</f>
        <v>1.0531919264327472</v>
      </c>
    </row>
    <row r="38" spans="1:26" x14ac:dyDescent="0.25">
      <c r="A38" t="s">
        <v>265</v>
      </c>
      <c r="B38">
        <f>AVERAGE(S38:Z38)</f>
        <v>1.0531919264327472</v>
      </c>
      <c r="C38" s="8"/>
      <c r="J38">
        <f>beer!H6</f>
        <v>34.880000000000003</v>
      </c>
      <c r="K38" s="8"/>
      <c r="R38">
        <f>beer!I6</f>
        <v>36.735334393974227</v>
      </c>
      <c r="S38" s="8"/>
      <c r="Z38">
        <f>R38/J38</f>
        <v>1.0531919264327472</v>
      </c>
    </row>
    <row r="39" spans="1:26" x14ac:dyDescent="0.25">
      <c r="A39" t="s">
        <v>149</v>
      </c>
      <c r="B39">
        <f>SUMPRODUCT(S39:Z39,G80:N80)/SUM(G80:N80)</f>
        <v>1.0155096620470498</v>
      </c>
      <c r="C39" s="8">
        <f>meat!H12</f>
        <v>36.75</v>
      </c>
      <c r="D39">
        <f>milk!H8</f>
        <v>82.95</v>
      </c>
      <c r="E39">
        <f>fish!H12</f>
        <v>6.3</v>
      </c>
      <c r="F39">
        <f>flour!H8</f>
        <v>31.5</v>
      </c>
      <c r="G39">
        <f>vegetables!H12</f>
        <v>45.15</v>
      </c>
      <c r="H39">
        <f>fruit!H12</f>
        <v>15.75</v>
      </c>
      <c r="I39">
        <f>canned!H11</f>
        <v>17.850000000000001</v>
      </c>
      <c r="J39">
        <f>beer!H9</f>
        <v>7.35</v>
      </c>
      <c r="K39" s="8">
        <f>meat!I12</f>
        <v>36.75</v>
      </c>
      <c r="L39">
        <f>milk!I8</f>
        <v>82.95</v>
      </c>
      <c r="M39">
        <f>fish!I12</f>
        <v>6.3</v>
      </c>
      <c r="N39">
        <f>flour!I8</f>
        <v>31.5</v>
      </c>
      <c r="O39">
        <f>vegetables!I12</f>
        <v>45.15</v>
      </c>
      <c r="P39">
        <f>fruit!I12</f>
        <v>15.75</v>
      </c>
      <c r="Q39">
        <f>canned!I11</f>
        <v>21.628153674661323</v>
      </c>
      <c r="R39">
        <f>beer!I9</f>
        <v>7.35</v>
      </c>
      <c r="S39" s="8">
        <f>K39/C39</f>
        <v>1</v>
      </c>
      <c r="T39">
        <f>L39/D39</f>
        <v>1</v>
      </c>
      <c r="U39">
        <f t="shared" ref="U39:X40" si="1">M39/E39</f>
        <v>1</v>
      </c>
      <c r="V39">
        <f t="shared" si="1"/>
        <v>1</v>
      </c>
      <c r="W39">
        <f t="shared" si="1"/>
        <v>1</v>
      </c>
      <c r="X39">
        <f t="shared" si="1"/>
        <v>1</v>
      </c>
      <c r="Y39">
        <f>Q39/I39</f>
        <v>1.2116612702891496</v>
      </c>
      <c r="Z39">
        <f>R39/J39</f>
        <v>1</v>
      </c>
    </row>
    <row r="40" spans="1:26" x14ac:dyDescent="0.25">
      <c r="A40" t="s">
        <v>30</v>
      </c>
      <c r="B40">
        <f>SUMPRODUCT(S40:Z40,G81:N81)/SUM(G81:N81)</f>
        <v>1.0173601902454099</v>
      </c>
      <c r="C40" s="8">
        <f>meat!H13</f>
        <v>73.5</v>
      </c>
      <c r="D40">
        <f>milk!H9</f>
        <v>165.9</v>
      </c>
      <c r="E40">
        <f>fish!H13</f>
        <v>12.6</v>
      </c>
      <c r="F40">
        <f>flour!H9</f>
        <v>63</v>
      </c>
      <c r="G40">
        <f>vegetables!H13</f>
        <v>90.3</v>
      </c>
      <c r="H40">
        <f>fruit!H13</f>
        <v>31.5</v>
      </c>
      <c r="I40">
        <f>canned!H10</f>
        <v>35.700000000000003</v>
      </c>
      <c r="J40">
        <f>beer!H8</f>
        <v>14.7</v>
      </c>
      <c r="K40" s="8">
        <f>meat!I13</f>
        <v>74.257113018072346</v>
      </c>
      <c r="L40">
        <f>milk!I9</f>
        <v>171.52312063441536</v>
      </c>
      <c r="M40">
        <f>fish!I13</f>
        <v>12.541612048866625</v>
      </c>
      <c r="N40">
        <f>flour!I9</f>
        <v>63.003300086129983</v>
      </c>
      <c r="O40">
        <f>vegetables!I13</f>
        <v>91.743115891383908</v>
      </c>
      <c r="P40">
        <f>fruit!I13</f>
        <v>31.210271751480558</v>
      </c>
      <c r="Q40">
        <f>canned!I10</f>
        <v>36.45594516619731</v>
      </c>
      <c r="R40">
        <f>beer!I8</f>
        <v>14.923406091017524</v>
      </c>
      <c r="S40" s="8">
        <f>K40/C40</f>
        <v>1.0103008573887393</v>
      </c>
      <c r="T40">
        <f>L40/D40</f>
        <v>1.0338946391465664</v>
      </c>
      <c r="U40">
        <f t="shared" si="1"/>
        <v>0.99536603562433534</v>
      </c>
      <c r="V40">
        <f t="shared" si="1"/>
        <v>1.0000523823195235</v>
      </c>
      <c r="W40">
        <f t="shared" si="1"/>
        <v>1.0159813498492127</v>
      </c>
      <c r="X40">
        <f t="shared" si="1"/>
        <v>0.99080227782477959</v>
      </c>
      <c r="Y40">
        <f>Q40/I40</f>
        <v>1.0211749346273755</v>
      </c>
      <c r="Z40">
        <f>R40/J40</f>
        <v>1.0151976932664983</v>
      </c>
    </row>
    <row r="42" spans="1:26" x14ac:dyDescent="0.25">
      <c r="A42" s="1" t="s">
        <v>12</v>
      </c>
      <c r="B42" s="1" t="s">
        <v>111</v>
      </c>
      <c r="C42" s="1" t="s">
        <v>116</v>
      </c>
      <c r="D42" s="1" t="s">
        <v>109</v>
      </c>
      <c r="E42" s="1" t="s">
        <v>110</v>
      </c>
      <c r="G42" s="7" t="s">
        <v>19</v>
      </c>
      <c r="O42" s="7" t="s">
        <v>112</v>
      </c>
    </row>
    <row r="43" spans="1:26" x14ac:dyDescent="0.25">
      <c r="G43" s="8" t="s">
        <v>2</v>
      </c>
      <c r="H43" t="s">
        <v>72</v>
      </c>
      <c r="I43" t="s">
        <v>3</v>
      </c>
      <c r="J43" t="s">
        <v>4</v>
      </c>
      <c r="K43" t="s">
        <v>5</v>
      </c>
      <c r="L43" t="s">
        <v>6</v>
      </c>
      <c r="M43" t="s">
        <v>224</v>
      </c>
      <c r="N43" t="s">
        <v>225</v>
      </c>
      <c r="O43" s="8" t="s">
        <v>2</v>
      </c>
      <c r="P43" t="s">
        <v>72</v>
      </c>
      <c r="Q43" t="s">
        <v>3</v>
      </c>
      <c r="R43" t="s">
        <v>4</v>
      </c>
      <c r="S43" t="s">
        <v>5</v>
      </c>
      <c r="T43" t="s">
        <v>6</v>
      </c>
      <c r="U43" t="s">
        <v>224</v>
      </c>
      <c r="V43" t="s">
        <v>225</v>
      </c>
    </row>
    <row r="44" spans="1:26" x14ac:dyDescent="0.25">
      <c r="A44" t="s">
        <v>16</v>
      </c>
      <c r="B44">
        <v>75</v>
      </c>
      <c r="C44">
        <f>dist_calculations!E26</f>
        <v>48</v>
      </c>
      <c r="D44">
        <v>4</v>
      </c>
      <c r="E44">
        <f>ROUND((D44*B3)/(C44/B44),0)</f>
        <v>4</v>
      </c>
      <c r="G44" s="8">
        <v>16</v>
      </c>
      <c r="I44">
        <v>3</v>
      </c>
      <c r="K44">
        <v>31</v>
      </c>
      <c r="L44">
        <v>16</v>
      </c>
      <c r="O44" s="8">
        <f>ROUND((S3/(($E44/$D44)*($C44/$B44)))*G44,0)</f>
        <v>39</v>
      </c>
      <c r="Q44">
        <f>ROUND((U3/(($E44/$D44)*($C44/$B44)))*I44,0)</f>
        <v>12</v>
      </c>
      <c r="S44">
        <f>ROUND((W3/(($E44/$D44)*($C44/$B44)))*K44,0)</f>
        <v>15</v>
      </c>
      <c r="T44">
        <f>ROUND((X3/(($E44/$D44)*($C44/$B44)))*L44,0)</f>
        <v>8</v>
      </c>
    </row>
    <row r="45" spans="1:26" x14ac:dyDescent="0.25">
      <c r="A45" t="s">
        <v>77</v>
      </c>
      <c r="B45">
        <v>42</v>
      </c>
      <c r="C45">
        <f>dist_calculations!E6</f>
        <v>15</v>
      </c>
      <c r="D45">
        <v>5</v>
      </c>
      <c r="E45">
        <f>ROUND((D45*B4)/(C45/B45),0)</f>
        <v>5</v>
      </c>
      <c r="G45" s="8"/>
      <c r="H45">
        <v>100</v>
      </c>
      <c r="O45" s="8"/>
      <c r="P45">
        <f>ROUND((T4/(($E45/$D45)*($C45/$B45)))*H45,0)</f>
        <v>92</v>
      </c>
    </row>
    <row r="46" spans="1:26" x14ac:dyDescent="0.25">
      <c r="A46" t="s">
        <v>150</v>
      </c>
      <c r="B46">
        <v>8</v>
      </c>
      <c r="C46">
        <f>dist_calculations!E17</f>
        <v>3</v>
      </c>
      <c r="D46">
        <v>4</v>
      </c>
      <c r="E46">
        <f>ROUND((D46*B5)/(C46/B46),0)</f>
        <v>5</v>
      </c>
      <c r="G46" s="8"/>
      <c r="M46">
        <v>33</v>
      </c>
      <c r="O46" s="8"/>
      <c r="U46">
        <f>ROUND((Y5/(($E46/$D46)*($C46/$B46)))*M46,0)</f>
        <v>31</v>
      </c>
    </row>
    <row r="47" spans="1:26" x14ac:dyDescent="0.25">
      <c r="A47" t="s">
        <v>49</v>
      </c>
      <c r="B47">
        <v>2</v>
      </c>
      <c r="C47">
        <f>dist_calculations!E13</f>
        <v>2</v>
      </c>
      <c r="D47">
        <v>2</v>
      </c>
      <c r="E47">
        <f>ROUNDUP((D47*B6)/(C47/B47),0)</f>
        <v>3</v>
      </c>
      <c r="G47" s="8"/>
      <c r="I47">
        <v>100</v>
      </c>
      <c r="O47" s="8"/>
      <c r="Q47">
        <f>ROUND((U6/(($E47/$D47)*($C47/$B47)))*I47,0)</f>
        <v>89</v>
      </c>
    </row>
    <row r="48" spans="1:26" x14ac:dyDescent="0.25">
      <c r="A48" t="s">
        <v>59</v>
      </c>
      <c r="B48">
        <v>27</v>
      </c>
      <c r="C48">
        <f>dist_calculations!E9</f>
        <v>22</v>
      </c>
      <c r="D48">
        <v>1</v>
      </c>
      <c r="E48">
        <f>ROUND((D48*B7)/(C48/B48),0)</f>
        <v>1</v>
      </c>
      <c r="G48" s="8"/>
      <c r="K48">
        <v>100</v>
      </c>
      <c r="L48">
        <v>100</v>
      </c>
      <c r="O48" s="8"/>
      <c r="S48">
        <f>ROUND((W7/(($E48/$D48)*($C48/$B48)))*K48,0)</f>
        <v>206</v>
      </c>
      <c r="T48">
        <f>ROUND((X7/(($E48/$D48)*($C48/$B48)))*L48,0)</f>
        <v>33</v>
      </c>
    </row>
    <row r="49" spans="1:22" x14ac:dyDescent="0.25">
      <c r="A49" t="s">
        <v>55</v>
      </c>
      <c r="B49">
        <v>32</v>
      </c>
      <c r="C49">
        <f>dist_calculations!E2</f>
        <v>60</v>
      </c>
      <c r="D49">
        <v>1</v>
      </c>
      <c r="E49">
        <f>ROUND((D49*B8)/(C49/B49),0)</f>
        <v>3</v>
      </c>
      <c r="G49" s="8"/>
      <c r="J49">
        <v>100</v>
      </c>
      <c r="O49" s="8"/>
      <c r="R49">
        <f>ROUND((V8/(($E49/$D49)*($C49/$B49)))*J49,0)</f>
        <v>112</v>
      </c>
    </row>
    <row r="50" spans="1:22" x14ac:dyDescent="0.25">
      <c r="A50" t="s">
        <v>21</v>
      </c>
      <c r="B50">
        <v>24</v>
      </c>
      <c r="C50">
        <f>dist_calculations!E30</f>
        <v>16</v>
      </c>
      <c r="D50">
        <v>1</v>
      </c>
      <c r="E50">
        <f>ROUND((D50*B9)/(C50/B50),0)</f>
        <v>1</v>
      </c>
      <c r="G50" s="8">
        <v>100</v>
      </c>
      <c r="O50" s="8">
        <f>ROUND((S9/(($E50/$D50)*($C50/$B50)))*G50,0)</f>
        <v>96</v>
      </c>
    </row>
    <row r="51" spans="1:22" x14ac:dyDescent="0.25">
      <c r="A51" t="s">
        <v>261</v>
      </c>
      <c r="B51">
        <v>24</v>
      </c>
      <c r="C51">
        <f>dist_calculations!E21</f>
        <v>56</v>
      </c>
      <c r="D51">
        <v>2</v>
      </c>
      <c r="E51">
        <f>ROUND((D51*B10)/(C51/B51),0)</f>
        <v>5</v>
      </c>
      <c r="G51" s="8"/>
      <c r="N51">
        <v>67</v>
      </c>
      <c r="O51" s="8"/>
      <c r="V51">
        <f>ROUND((Z10/(($E51/$D51)*($C51/$B51)))*N51,0)</f>
        <v>62</v>
      </c>
    </row>
    <row r="52" spans="1:22" x14ac:dyDescent="0.25">
      <c r="A52" t="s">
        <v>22</v>
      </c>
      <c r="B52">
        <v>45</v>
      </c>
      <c r="C52">
        <f>dist_calculations!E27</f>
        <v>40</v>
      </c>
      <c r="D52">
        <v>8</v>
      </c>
      <c r="E52">
        <f>ROUND((D52*B11)/(C52/B52),0)</f>
        <v>7</v>
      </c>
      <c r="G52" s="8">
        <v>16</v>
      </c>
      <c r="I52">
        <v>3</v>
      </c>
      <c r="K52">
        <v>31</v>
      </c>
      <c r="L52">
        <v>16</v>
      </c>
      <c r="O52" s="8">
        <f>ROUND((S11/(($E52/$D52)*($C52/$B52)))*G52,0)</f>
        <v>20</v>
      </c>
      <c r="Q52">
        <f>ROUND((U11/(($E52/$D52)*($C52/$B52)))*I52,0)</f>
        <v>7</v>
      </c>
      <c r="S52">
        <f>ROUND((W11/(($E52/$D52)*($C52/$B52)))*K52,0)</f>
        <v>31</v>
      </c>
      <c r="T52">
        <f>ROUND((X11/(($E52/$D52)*($C52/$B52)))*L52,0)</f>
        <v>4</v>
      </c>
    </row>
    <row r="53" spans="1:22" x14ac:dyDescent="0.25">
      <c r="A53" t="s">
        <v>151</v>
      </c>
      <c r="B53">
        <v>28</v>
      </c>
      <c r="C53">
        <f>dist_calculations!E18</f>
        <v>5</v>
      </c>
      <c r="D53">
        <v>4</v>
      </c>
      <c r="E53">
        <f>ROUND((D53*B13)/(C53/B53),0)</f>
        <v>8</v>
      </c>
      <c r="G53" s="8"/>
      <c r="M53">
        <v>33</v>
      </c>
      <c r="O53" s="8"/>
      <c r="U53">
        <f>ROUND((Y13/(($E53/$D53)*($C53/$B53)))*M53,0)</f>
        <v>33</v>
      </c>
    </row>
    <row r="54" spans="1:22" x14ac:dyDescent="0.25">
      <c r="A54" t="s">
        <v>78</v>
      </c>
      <c r="B54">
        <v>21</v>
      </c>
      <c r="C54">
        <f>dist_calculations!E7</f>
        <v>20</v>
      </c>
      <c r="D54">
        <v>10</v>
      </c>
      <c r="E54">
        <f>ROUND((D54*B12)/(C54/B54),0)</f>
        <v>6</v>
      </c>
      <c r="G54" s="8"/>
      <c r="H54">
        <v>100</v>
      </c>
      <c r="O54" s="8"/>
      <c r="P54">
        <f>ROUND((T12/(($E54/$D54)*($C54/$B54)))*H54,0)</f>
        <v>104</v>
      </c>
    </row>
    <row r="55" spans="1:22" x14ac:dyDescent="0.25">
      <c r="A55" t="s">
        <v>50</v>
      </c>
      <c r="B55">
        <v>2</v>
      </c>
      <c r="C55">
        <f>dist_calculations!E14</f>
        <v>5</v>
      </c>
      <c r="D55">
        <v>5</v>
      </c>
      <c r="E55">
        <f>ROUNDUP((D55*B14)/(C55/B55),0)</f>
        <v>4</v>
      </c>
      <c r="G55" s="8"/>
      <c r="I55">
        <v>100</v>
      </c>
      <c r="O55" s="8"/>
      <c r="Q55">
        <f>ROUND((U14/(($E55/$D55)*($C55/$B55)))*I55,0)</f>
        <v>88</v>
      </c>
    </row>
    <row r="56" spans="1:22" x14ac:dyDescent="0.25">
      <c r="A56" t="s">
        <v>114</v>
      </c>
      <c r="B56">
        <v>36</v>
      </c>
      <c r="C56">
        <f>dist_calculations!E10</f>
        <v>18</v>
      </c>
      <c r="D56">
        <v>2</v>
      </c>
      <c r="E56">
        <f>ROUND((D56*B15)/(C56/B56),0)</f>
        <v>2</v>
      </c>
      <c r="G56" s="8"/>
      <c r="K56">
        <v>75</v>
      </c>
      <c r="L56">
        <v>100</v>
      </c>
      <c r="O56" s="8"/>
      <c r="S56">
        <f>ROUND((W15/(($E56/$D56)*($C56/$B56)))*K56,0)</f>
        <v>118</v>
      </c>
      <c r="T56">
        <f>ROUND((X15/(($E56/$D56)*($C56/$B56)))*L56,0)</f>
        <v>43</v>
      </c>
    </row>
    <row r="57" spans="1:22" x14ac:dyDescent="0.25">
      <c r="A57" t="s">
        <v>56</v>
      </c>
      <c r="B57">
        <v>30</v>
      </c>
      <c r="C57">
        <f>dist_calculations!E3</f>
        <v>44</v>
      </c>
      <c r="D57">
        <v>2</v>
      </c>
      <c r="E57">
        <f>ROUND((D57*B16)/(C57/B57),0)</f>
        <v>4</v>
      </c>
      <c r="G57" s="8"/>
      <c r="J57">
        <v>100</v>
      </c>
      <c r="O57" s="8"/>
      <c r="R57">
        <f>ROUND((V16/(($E57/$D57)*($C57/$B57)))*J57,0)</f>
        <v>96</v>
      </c>
    </row>
    <row r="58" spans="1:22" x14ac:dyDescent="0.25">
      <c r="A58" t="s">
        <v>23</v>
      </c>
      <c r="B58">
        <v>30</v>
      </c>
      <c r="C58">
        <f>dist_calculations!E31</f>
        <v>24</v>
      </c>
      <c r="D58">
        <v>2</v>
      </c>
      <c r="E58">
        <f>ROUND((D58*B17)/(C58/B58),0)</f>
        <v>2</v>
      </c>
      <c r="G58" s="8">
        <v>100</v>
      </c>
      <c r="O58" s="8">
        <f>ROUND((S17/(($E58/$D58)*($C58/$B58)))*G58,0)</f>
        <v>121</v>
      </c>
    </row>
    <row r="59" spans="1:22" x14ac:dyDescent="0.25">
      <c r="A59" t="s">
        <v>262</v>
      </c>
      <c r="B59">
        <v>30</v>
      </c>
      <c r="C59">
        <f>dist_calculations!E22</f>
        <v>38</v>
      </c>
      <c r="D59">
        <v>6</v>
      </c>
      <c r="E59">
        <f>ROUND((D59*B18)/(C59/B59),0)</f>
        <v>4</v>
      </c>
      <c r="G59" s="8"/>
      <c r="N59">
        <v>80</v>
      </c>
      <c r="O59" s="8"/>
      <c r="V59">
        <f>ROUND((Z18/(($E59/$D59)*($C59/$B59)))*N59,0)</f>
        <v>88</v>
      </c>
    </row>
    <row r="60" spans="1:22" x14ac:dyDescent="0.25">
      <c r="A60" t="s">
        <v>26</v>
      </c>
      <c r="B60">
        <v>10</v>
      </c>
      <c r="C60">
        <f>dist_calculations!E28</f>
        <v>10</v>
      </c>
      <c r="D60">
        <v>8</v>
      </c>
      <c r="E60">
        <f>ROUND((D60*B19)/(C60/B60),0)</f>
        <v>10</v>
      </c>
      <c r="G60" s="8">
        <v>16</v>
      </c>
      <c r="I60">
        <v>3</v>
      </c>
      <c r="K60">
        <v>31</v>
      </c>
      <c r="L60">
        <v>16</v>
      </c>
      <c r="O60" s="8">
        <f>ROUND((S19/(($E60/$D60)*($C60/$B60)))*G60,0)</f>
        <v>15</v>
      </c>
      <c r="Q60">
        <f>ROUND((U19/(($E60/$D60)*($C60/$B60)))*I60,0)</f>
        <v>3</v>
      </c>
      <c r="S60">
        <f>ROUND((W19/(($E60/$D60)*($C60/$B60)))*K60,0)</f>
        <v>43</v>
      </c>
      <c r="T60">
        <f>ROUND((X19/(($E60/$D60)*($C60/$B60)))*L60,0)</f>
        <v>4</v>
      </c>
    </row>
    <row r="61" spans="1:22" x14ac:dyDescent="0.25">
      <c r="A61" t="s">
        <v>152</v>
      </c>
      <c r="B61">
        <v>45</v>
      </c>
      <c r="C61">
        <f>dist_calculations!E19</f>
        <v>7</v>
      </c>
      <c r="D61">
        <v>8</v>
      </c>
      <c r="E61">
        <f>ROUND((D61*B21)/(C61/B61),0)</f>
        <v>9</v>
      </c>
      <c r="G61" s="8"/>
      <c r="M61">
        <v>33</v>
      </c>
      <c r="O61" s="8"/>
      <c r="U61">
        <f>ROUND((Y21/(($E61/$D61)*($C61/$B61)))*M61,0)</f>
        <v>34</v>
      </c>
    </row>
    <row r="62" spans="1:22" x14ac:dyDescent="0.25">
      <c r="A62" t="s">
        <v>79</v>
      </c>
      <c r="B62">
        <v>15</v>
      </c>
      <c r="C62">
        <f>dist_calculations!E8</f>
        <v>24</v>
      </c>
      <c r="D62">
        <v>15</v>
      </c>
      <c r="E62">
        <f>ROUND(D62*B20,0)</f>
        <v>15</v>
      </c>
      <c r="G62" s="8"/>
      <c r="H62">
        <v>100</v>
      </c>
      <c r="O62" s="8"/>
      <c r="P62" s="8">
        <f>ROUND((T20/($E62/$D62))*H62,0)</f>
        <v>98</v>
      </c>
    </row>
    <row r="63" spans="1:22" x14ac:dyDescent="0.25">
      <c r="A63" t="s">
        <v>51</v>
      </c>
      <c r="B63">
        <v>3</v>
      </c>
      <c r="C63">
        <f>dist_calculations!E15</f>
        <v>10</v>
      </c>
      <c r="D63">
        <v>10</v>
      </c>
      <c r="E63">
        <f>ROUNDUP((D63*B22)/(C63/B63),0)</f>
        <v>5</v>
      </c>
      <c r="G63" s="8"/>
      <c r="I63">
        <v>100</v>
      </c>
      <c r="O63" s="8"/>
      <c r="Q63">
        <f>ROUND((U22/(($E63/$D63)*($C63/$B63)))*I63,0)</f>
        <v>85</v>
      </c>
    </row>
    <row r="64" spans="1:22" x14ac:dyDescent="0.25">
      <c r="A64" t="s">
        <v>61</v>
      </c>
      <c r="B64">
        <v>30</v>
      </c>
      <c r="C64">
        <f>dist_calculations!E11</f>
        <v>26</v>
      </c>
      <c r="D64">
        <v>4</v>
      </c>
      <c r="E64">
        <f>ROUND((D64*B23)/(C64/B64),0)</f>
        <v>4</v>
      </c>
      <c r="G64" s="8"/>
      <c r="K64">
        <v>67</v>
      </c>
      <c r="L64">
        <v>100</v>
      </c>
      <c r="O64" s="8"/>
      <c r="S64">
        <f>ROUND((W23/(($E64/$D64)*($C64/$B64)))*K64,0)</f>
        <v>134</v>
      </c>
      <c r="T64">
        <f>ROUND((X23/(($E64/$D64)*($C64/$B64)))*L64,0)</f>
        <v>40</v>
      </c>
    </row>
    <row r="65" spans="1:22" x14ac:dyDescent="0.25">
      <c r="A65" t="s">
        <v>57</v>
      </c>
      <c r="B65">
        <v>27</v>
      </c>
      <c r="C65">
        <f>dist_calculations!E4</f>
        <v>22</v>
      </c>
      <c r="D65">
        <v>3</v>
      </c>
      <c r="E65">
        <f>ROUND((D65*B24)/(C66/B65),0)</f>
        <v>4</v>
      </c>
      <c r="G65" s="8"/>
      <c r="J65">
        <v>100</v>
      </c>
      <c r="O65" s="8"/>
      <c r="R65">
        <f>ROUND((V24/(($E65/$D65)*($C66/$B65)))*J65,0)</f>
        <v>89</v>
      </c>
    </row>
    <row r="66" spans="1:22" x14ac:dyDescent="0.25">
      <c r="A66" t="s">
        <v>24</v>
      </c>
      <c r="B66">
        <v>27</v>
      </c>
      <c r="C66">
        <f>dist_calculations!E32</f>
        <v>28</v>
      </c>
      <c r="D66">
        <v>3</v>
      </c>
      <c r="E66">
        <f>ROUND((D66*B25)/(C66/B66),0)</f>
        <v>3</v>
      </c>
      <c r="G66" s="8">
        <v>100</v>
      </c>
      <c r="O66" s="8">
        <f>ROUND((S25/(($E66/$D66)*($C66/$B66)))*G66,0)</f>
        <v>110</v>
      </c>
    </row>
    <row r="67" spans="1:22" x14ac:dyDescent="0.25">
      <c r="A67" t="s">
        <v>263</v>
      </c>
      <c r="B67">
        <v>27</v>
      </c>
      <c r="C67">
        <f>dist_calculations!E23</f>
        <v>22</v>
      </c>
      <c r="D67">
        <v>6</v>
      </c>
      <c r="E67">
        <f>ROUND((D67*B26)/(C67/B67),0)</f>
        <v>5</v>
      </c>
      <c r="G67" s="8"/>
      <c r="N67">
        <v>100</v>
      </c>
      <c r="O67" s="8"/>
      <c r="V67">
        <f>ROUND((Z26/(($E67/$D67)*($C67/$B67)))*N67,0)</f>
        <v>99</v>
      </c>
    </row>
    <row r="68" spans="1:22" x14ac:dyDescent="0.25">
      <c r="A68" t="s">
        <v>27</v>
      </c>
      <c r="B68">
        <v>4</v>
      </c>
      <c r="C68">
        <f>dist_calculations!E29</f>
        <v>7</v>
      </c>
      <c r="D68">
        <v>12</v>
      </c>
      <c r="E68">
        <f t="shared" ref="E68:E74" si="2">ROUND((D68*B27)/(C68/B68),0)</f>
        <v>14</v>
      </c>
      <c r="G68" s="8">
        <v>16</v>
      </c>
      <c r="I68">
        <v>3</v>
      </c>
      <c r="K68">
        <v>31</v>
      </c>
      <c r="L68">
        <v>16</v>
      </c>
      <c r="O68" s="8">
        <f>ROUND((S27/(($E68/$D68)*($C68/$B68)))*G68,0)</f>
        <v>13</v>
      </c>
      <c r="Q68">
        <f>ROUND((U27/(($E68/$D68)*($C68/$B68)))*I68,0)</f>
        <v>6</v>
      </c>
      <c r="S68">
        <f>ROUND((W27/(($E68/$D68)*($C68/$B68)))*K68,0)</f>
        <v>39</v>
      </c>
      <c r="T68">
        <f>ROUND((X27/(($E68/$D68)*($C68/$B68)))*L68,0)</f>
        <v>6</v>
      </c>
    </row>
    <row r="69" spans="1:22" x14ac:dyDescent="0.25">
      <c r="A69" t="s">
        <v>153</v>
      </c>
      <c r="B69">
        <v>24</v>
      </c>
      <c r="C69">
        <f>dist_calculations!E20</f>
        <v>6</v>
      </c>
      <c r="D69">
        <v>8</v>
      </c>
      <c r="E69">
        <f t="shared" si="2"/>
        <v>13</v>
      </c>
      <c r="G69" s="8"/>
      <c r="M69">
        <v>33</v>
      </c>
      <c r="O69" s="8"/>
      <c r="U69">
        <f>ROUND((Y28/(($E69/$D69)*($C69/$B69)))*M69,0)</f>
        <v>33</v>
      </c>
    </row>
    <row r="70" spans="1:22" x14ac:dyDescent="0.25">
      <c r="A70" t="s">
        <v>52</v>
      </c>
      <c r="B70">
        <v>1</v>
      </c>
      <c r="C70">
        <f>dist_calculations!E16</f>
        <v>4</v>
      </c>
      <c r="D70">
        <v>15</v>
      </c>
      <c r="E70">
        <f t="shared" si="2"/>
        <v>5</v>
      </c>
      <c r="G70" s="8"/>
      <c r="I70">
        <v>100</v>
      </c>
      <c r="O70" s="8"/>
      <c r="Q70">
        <f>ROUND((U29/(($E70/$D70)*($C70/$B70)))*I70,0)</f>
        <v>104</v>
      </c>
    </row>
    <row r="71" spans="1:22" x14ac:dyDescent="0.25">
      <c r="A71" t="s">
        <v>62</v>
      </c>
      <c r="B71">
        <v>15</v>
      </c>
      <c r="C71">
        <f>dist_calculations!E12</f>
        <v>10</v>
      </c>
      <c r="D71">
        <v>6</v>
      </c>
      <c r="E71">
        <f t="shared" si="2"/>
        <v>5</v>
      </c>
      <c r="G71" s="8"/>
      <c r="K71">
        <v>67</v>
      </c>
      <c r="L71">
        <v>100</v>
      </c>
      <c r="O71" s="8"/>
      <c r="S71">
        <f>ROUND((W30/(($E71/$D71)*($C71/$B71)))*K71,0)</f>
        <v>120</v>
      </c>
      <c r="T71">
        <f>ROUND((X30/(($E71/$D71)*($C71/$B71)))*L71,0)</f>
        <v>53</v>
      </c>
    </row>
    <row r="72" spans="1:22" x14ac:dyDescent="0.25">
      <c r="A72" t="s">
        <v>58</v>
      </c>
      <c r="B72">
        <v>24</v>
      </c>
      <c r="C72">
        <f>dist_calculations!E5</f>
        <v>16</v>
      </c>
      <c r="D72">
        <v>4</v>
      </c>
      <c r="E72">
        <f t="shared" si="2"/>
        <v>5</v>
      </c>
      <c r="G72" s="8"/>
      <c r="J72">
        <v>100</v>
      </c>
      <c r="O72" s="8"/>
      <c r="R72">
        <f>ROUND((V31/(($E72/$D72)*($C72/$B72)))*J72,0)</f>
        <v>106</v>
      </c>
    </row>
    <row r="73" spans="1:22" x14ac:dyDescent="0.25">
      <c r="A73" t="s">
        <v>25</v>
      </c>
      <c r="B73">
        <v>12</v>
      </c>
      <c r="C73">
        <f>dist_calculations!E33</f>
        <v>20</v>
      </c>
      <c r="D73">
        <v>4</v>
      </c>
      <c r="E73">
        <f t="shared" si="2"/>
        <v>4</v>
      </c>
      <c r="G73" s="8">
        <v>100</v>
      </c>
      <c r="O73" s="8">
        <f>ROUND((S32/(($E73/$D73)*($C73/$B73)))*G73,0)</f>
        <v>103</v>
      </c>
    </row>
    <row r="74" spans="1:22" x14ac:dyDescent="0.25">
      <c r="A74" t="s">
        <v>264</v>
      </c>
      <c r="B74">
        <v>24</v>
      </c>
      <c r="C74">
        <f>dist_calculations!E24</f>
        <v>17</v>
      </c>
      <c r="D74">
        <v>7</v>
      </c>
      <c r="E74">
        <f t="shared" si="2"/>
        <v>5</v>
      </c>
      <c r="G74" s="8"/>
      <c r="N74">
        <v>100</v>
      </c>
      <c r="O74" s="8"/>
      <c r="V74">
        <f>ROUND((Z33/(($E74/$D74)*($C74/$B74)))*N74,0)</f>
        <v>105</v>
      </c>
    </row>
    <row r="75" spans="1:22" x14ac:dyDescent="0.25">
      <c r="A75" t="s">
        <v>31</v>
      </c>
      <c r="B75">
        <f>dist_calculations!$B$37</f>
        <v>12</v>
      </c>
      <c r="C75">
        <f>dist_calculations!E37</f>
        <v>18</v>
      </c>
      <c r="D75">
        <v>7</v>
      </c>
      <c r="E75">
        <f>ROUND((D75*B34)/(C75/B75),0)</f>
        <v>3</v>
      </c>
      <c r="G75" s="8">
        <v>16</v>
      </c>
      <c r="H75">
        <v>14</v>
      </c>
      <c r="I75">
        <v>3</v>
      </c>
      <c r="J75">
        <v>14</v>
      </c>
      <c r="K75">
        <v>31</v>
      </c>
      <c r="L75">
        <v>16</v>
      </c>
      <c r="M75">
        <v>20</v>
      </c>
      <c r="O75" s="8">
        <f t="shared" ref="O75:T76" si="3">ROUND((S34/(($E75/$D75)*($C75/$B75)))*G75,0)</f>
        <v>14</v>
      </c>
      <c r="P75">
        <f t="shared" si="3"/>
        <v>33</v>
      </c>
      <c r="Q75">
        <f t="shared" si="3"/>
        <v>6</v>
      </c>
      <c r="R75">
        <f t="shared" si="3"/>
        <v>6</v>
      </c>
      <c r="S75">
        <f t="shared" si="3"/>
        <v>46</v>
      </c>
      <c r="T75">
        <f t="shared" si="3"/>
        <v>7</v>
      </c>
      <c r="U75">
        <f>ROUND((Y34/($E75/$D75))*M75,0)</f>
        <v>24</v>
      </c>
    </row>
    <row r="76" spans="1:22" x14ac:dyDescent="0.25">
      <c r="A76" t="s">
        <v>29</v>
      </c>
      <c r="B76">
        <v>14</v>
      </c>
      <c r="C76">
        <f>dist_calculations!E39</f>
        <v>38</v>
      </c>
      <c r="D76">
        <v>14</v>
      </c>
      <c r="E76">
        <f>ROUND((D76*B35)/(C76/B76),0)</f>
        <v>13</v>
      </c>
      <c r="G76" s="8">
        <v>16</v>
      </c>
      <c r="H76">
        <v>14</v>
      </c>
      <c r="I76">
        <v>3</v>
      </c>
      <c r="J76">
        <v>14</v>
      </c>
      <c r="K76">
        <v>31</v>
      </c>
      <c r="L76">
        <v>16</v>
      </c>
      <c r="M76">
        <v>20</v>
      </c>
      <c r="O76" s="8">
        <f t="shared" si="3"/>
        <v>23</v>
      </c>
      <c r="P76">
        <f t="shared" si="3"/>
        <v>58</v>
      </c>
      <c r="Q76">
        <f t="shared" si="3"/>
        <v>2</v>
      </c>
      <c r="R76">
        <f t="shared" si="3"/>
        <v>13</v>
      </c>
      <c r="S76">
        <f t="shared" si="3"/>
        <v>13</v>
      </c>
      <c r="T76">
        <f t="shared" si="3"/>
        <v>2</v>
      </c>
      <c r="U76">
        <f>ROUND((Y35/(($E76/$D76)*($C76/$B76)))*M76,0)</f>
        <v>7</v>
      </c>
    </row>
    <row r="77" spans="1:22" x14ac:dyDescent="0.25">
      <c r="A77" t="s">
        <v>154</v>
      </c>
      <c r="B77">
        <v>2</v>
      </c>
      <c r="C77">
        <v>2</v>
      </c>
      <c r="D77">
        <v>8</v>
      </c>
      <c r="E77">
        <f>ROUND((D77*B36)/(C77/B77),0)</f>
        <v>23</v>
      </c>
      <c r="G77" s="8"/>
      <c r="H77">
        <v>18</v>
      </c>
      <c r="M77">
        <v>26</v>
      </c>
      <c r="O77" s="8"/>
      <c r="P77">
        <f>ROUND((T36/(($E77/$D77)*($C77/$B77)))*H77,0)</f>
        <v>37</v>
      </c>
      <c r="U77">
        <f>ROUND((Y36/(($E77/$D77)*($C77/$B77)))*M77,0)</f>
        <v>8</v>
      </c>
    </row>
    <row r="78" spans="1:22" x14ac:dyDescent="0.25">
      <c r="A78" t="s">
        <v>221</v>
      </c>
      <c r="B78">
        <v>18</v>
      </c>
      <c r="C78">
        <f>dist_calculations!E43</f>
        <v>18</v>
      </c>
      <c r="D78">
        <v>32</v>
      </c>
      <c r="E78">
        <f>ROUND((D78*B37)/(C78/B78),0)</f>
        <v>29</v>
      </c>
      <c r="G78" s="8"/>
      <c r="M78">
        <v>5</v>
      </c>
      <c r="N78">
        <v>2</v>
      </c>
      <c r="O78" s="8"/>
      <c r="U78">
        <f>ROUND((Y37/(($E78/$D78)*($C78/$B78)))*M78,0)</f>
        <v>5</v>
      </c>
      <c r="V78">
        <f>ROUND((Z37/(($E78/$D78)*($C78/$B78)))*N78,0)</f>
        <v>2</v>
      </c>
    </row>
    <row r="79" spans="1:22" x14ac:dyDescent="0.25">
      <c r="A79" t="s">
        <v>265</v>
      </c>
      <c r="B79">
        <v>4</v>
      </c>
      <c r="C79">
        <f>dist_calculations!E25</f>
        <v>3</v>
      </c>
      <c r="D79">
        <v>4</v>
      </c>
      <c r="E79">
        <f>ROUND((D79*B38)/(C79/B79),0)</f>
        <v>6</v>
      </c>
      <c r="G79" s="8"/>
      <c r="N79">
        <v>109</v>
      </c>
      <c r="O79" s="8"/>
      <c r="V79">
        <f>ROUND((Z38/(($E79/$D79)*($C79/$B79)))*N79,0)</f>
        <v>102</v>
      </c>
    </row>
    <row r="80" spans="1:22" x14ac:dyDescent="0.25">
      <c r="A80" t="s">
        <v>149</v>
      </c>
      <c r="B80">
        <v>15</v>
      </c>
      <c r="C80">
        <f>dist_calculations!E44</f>
        <v>15</v>
      </c>
      <c r="D80">
        <v>7</v>
      </c>
      <c r="E80">
        <v>7</v>
      </c>
      <c r="G80" s="8">
        <v>35</v>
      </c>
      <c r="H80">
        <v>79</v>
      </c>
      <c r="I80">
        <v>6</v>
      </c>
      <c r="J80">
        <v>30</v>
      </c>
      <c r="K80">
        <v>43</v>
      </c>
      <c r="L80">
        <v>15</v>
      </c>
      <c r="M80">
        <v>17</v>
      </c>
      <c r="N80">
        <v>7</v>
      </c>
      <c r="O80" s="8">
        <f t="shared" ref="O80:V81" si="4">ROUND((S39/($E80/$D80))*G80,0)</f>
        <v>35</v>
      </c>
      <c r="P80">
        <f t="shared" si="4"/>
        <v>79</v>
      </c>
      <c r="Q80">
        <f t="shared" si="4"/>
        <v>6</v>
      </c>
      <c r="R80">
        <f t="shared" si="4"/>
        <v>30</v>
      </c>
      <c r="S80">
        <f t="shared" si="4"/>
        <v>43</v>
      </c>
      <c r="T80">
        <f t="shared" si="4"/>
        <v>15</v>
      </c>
      <c r="U80">
        <f t="shared" si="4"/>
        <v>21</v>
      </c>
      <c r="V80">
        <f t="shared" si="4"/>
        <v>7</v>
      </c>
    </row>
    <row r="81" spans="1:22" x14ac:dyDescent="0.25">
      <c r="A81" t="s">
        <v>30</v>
      </c>
      <c r="B81">
        <v>10</v>
      </c>
      <c r="C81">
        <f>dist_calculations!E45</f>
        <v>10</v>
      </c>
      <c r="D81">
        <v>21</v>
      </c>
      <c r="E81">
        <v>21</v>
      </c>
      <c r="G81" s="8">
        <v>35</v>
      </c>
      <c r="H81">
        <v>79</v>
      </c>
      <c r="I81">
        <v>6</v>
      </c>
      <c r="J81">
        <v>30</v>
      </c>
      <c r="K81">
        <v>43</v>
      </c>
      <c r="L81">
        <v>15</v>
      </c>
      <c r="M81">
        <v>17</v>
      </c>
      <c r="N81">
        <v>7</v>
      </c>
      <c r="O81" s="8">
        <f t="shared" si="4"/>
        <v>35</v>
      </c>
      <c r="P81">
        <f t="shared" si="4"/>
        <v>82</v>
      </c>
      <c r="Q81">
        <f t="shared" si="4"/>
        <v>6</v>
      </c>
      <c r="R81">
        <f t="shared" si="4"/>
        <v>30</v>
      </c>
      <c r="S81">
        <f t="shared" si="4"/>
        <v>44</v>
      </c>
      <c r="T81">
        <f t="shared" si="4"/>
        <v>15</v>
      </c>
      <c r="U81">
        <f t="shared" si="4"/>
        <v>17</v>
      </c>
      <c r="V81">
        <f t="shared" si="4"/>
        <v>7</v>
      </c>
    </row>
    <row r="83" spans="1:22" x14ac:dyDescent="0.25">
      <c r="A83" s="1" t="s">
        <v>12</v>
      </c>
      <c r="B83" s="1" t="s">
        <v>248</v>
      </c>
      <c r="C83" s="1" t="s">
        <v>249</v>
      </c>
    </row>
    <row r="84" spans="1:22" x14ac:dyDescent="0.25">
      <c r="B84" s="1" t="s">
        <v>18</v>
      </c>
      <c r="C84" s="7" t="s">
        <v>2</v>
      </c>
      <c r="D84" s="1" t="s">
        <v>72</v>
      </c>
      <c r="E84" s="1" t="s">
        <v>3</v>
      </c>
      <c r="F84" s="1" t="s">
        <v>4</v>
      </c>
      <c r="G84" s="1" t="s">
        <v>5</v>
      </c>
      <c r="H84" s="1" t="s">
        <v>6</v>
      </c>
      <c r="I84" s="1" t="s">
        <v>224</v>
      </c>
      <c r="J84" s="1" t="s">
        <v>225</v>
      </c>
    </row>
    <row r="85" spans="1:22" x14ac:dyDescent="0.25">
      <c r="A85" t="s">
        <v>16</v>
      </c>
      <c r="B85">
        <f t="shared" ref="B85:B92" si="5">MAX(ROUND($E44/(100/MAX($O44:$V44)),0),1)</f>
        <v>2</v>
      </c>
      <c r="C85" s="8">
        <f t="shared" ref="C85:J91" si="6">ROUND((S3/(($B85/$D44)*($C44/$B44)))*G44,0)</f>
        <v>79</v>
      </c>
      <c r="D85">
        <f t="shared" si="6"/>
        <v>0</v>
      </c>
      <c r="E85">
        <f t="shared" si="6"/>
        <v>24</v>
      </c>
      <c r="F85">
        <f t="shared" si="6"/>
        <v>0</v>
      </c>
      <c r="G85">
        <f t="shared" si="6"/>
        <v>29</v>
      </c>
      <c r="H85">
        <f t="shared" si="6"/>
        <v>16</v>
      </c>
      <c r="I85">
        <f t="shared" si="6"/>
        <v>0</v>
      </c>
      <c r="J85">
        <f t="shared" si="6"/>
        <v>0</v>
      </c>
    </row>
    <row r="86" spans="1:22" x14ac:dyDescent="0.25">
      <c r="A86" t="s">
        <v>77</v>
      </c>
      <c r="B86">
        <f t="shared" si="5"/>
        <v>5</v>
      </c>
      <c r="C86" s="8">
        <f t="shared" si="6"/>
        <v>0</v>
      </c>
      <c r="D86">
        <f t="shared" si="6"/>
        <v>92</v>
      </c>
      <c r="E86">
        <f t="shared" si="6"/>
        <v>0</v>
      </c>
      <c r="F86">
        <f t="shared" si="6"/>
        <v>0</v>
      </c>
      <c r="G86">
        <f t="shared" si="6"/>
        <v>0</v>
      </c>
      <c r="H86">
        <f t="shared" si="6"/>
        <v>0</v>
      </c>
      <c r="I86">
        <f t="shared" si="6"/>
        <v>0</v>
      </c>
      <c r="J86">
        <f t="shared" si="6"/>
        <v>0</v>
      </c>
    </row>
    <row r="87" spans="1:22" x14ac:dyDescent="0.25">
      <c r="A87" t="s">
        <v>150</v>
      </c>
      <c r="B87">
        <f t="shared" si="5"/>
        <v>2</v>
      </c>
      <c r="C87" s="8">
        <f t="shared" si="6"/>
        <v>0</v>
      </c>
      <c r="D87">
        <f t="shared" si="6"/>
        <v>0</v>
      </c>
      <c r="E87">
        <f t="shared" si="6"/>
        <v>0</v>
      </c>
      <c r="F87">
        <f t="shared" si="6"/>
        <v>0</v>
      </c>
      <c r="G87">
        <f t="shared" si="6"/>
        <v>0</v>
      </c>
      <c r="H87">
        <f t="shared" si="6"/>
        <v>0</v>
      </c>
      <c r="I87">
        <f t="shared" si="6"/>
        <v>78</v>
      </c>
      <c r="J87">
        <f t="shared" si="6"/>
        <v>0</v>
      </c>
    </row>
    <row r="88" spans="1:22" x14ac:dyDescent="0.25">
      <c r="A88" t="s">
        <v>49</v>
      </c>
      <c r="B88">
        <f t="shared" si="5"/>
        <v>3</v>
      </c>
      <c r="C88" s="8">
        <f t="shared" si="6"/>
        <v>0</v>
      </c>
      <c r="D88">
        <f t="shared" si="6"/>
        <v>0</v>
      </c>
      <c r="E88">
        <f t="shared" si="6"/>
        <v>89</v>
      </c>
      <c r="F88">
        <f t="shared" si="6"/>
        <v>0</v>
      </c>
      <c r="G88">
        <f t="shared" si="6"/>
        <v>0</v>
      </c>
      <c r="H88">
        <f t="shared" si="6"/>
        <v>0</v>
      </c>
      <c r="I88">
        <f t="shared" si="6"/>
        <v>0</v>
      </c>
      <c r="J88">
        <f t="shared" si="6"/>
        <v>0</v>
      </c>
    </row>
    <row r="89" spans="1:22" x14ac:dyDescent="0.25">
      <c r="A89" t="s">
        <v>59</v>
      </c>
      <c r="B89">
        <f t="shared" si="5"/>
        <v>2</v>
      </c>
      <c r="C89" s="8">
        <f t="shared" si="6"/>
        <v>0</v>
      </c>
      <c r="D89">
        <f t="shared" si="6"/>
        <v>0</v>
      </c>
      <c r="E89">
        <f t="shared" si="6"/>
        <v>0</v>
      </c>
      <c r="F89">
        <f t="shared" si="6"/>
        <v>0</v>
      </c>
      <c r="G89">
        <f t="shared" si="6"/>
        <v>103</v>
      </c>
      <c r="H89">
        <f t="shared" si="6"/>
        <v>17</v>
      </c>
      <c r="I89">
        <f t="shared" si="6"/>
        <v>0</v>
      </c>
      <c r="J89">
        <f t="shared" si="6"/>
        <v>0</v>
      </c>
    </row>
    <row r="90" spans="1:22" x14ac:dyDescent="0.25">
      <c r="A90" t="s">
        <v>55</v>
      </c>
      <c r="B90">
        <f t="shared" si="5"/>
        <v>3</v>
      </c>
      <c r="C90" s="8">
        <f t="shared" si="6"/>
        <v>0</v>
      </c>
      <c r="D90">
        <f t="shared" si="6"/>
        <v>0</v>
      </c>
      <c r="E90">
        <f t="shared" si="6"/>
        <v>0</v>
      </c>
      <c r="F90">
        <f t="shared" si="6"/>
        <v>112</v>
      </c>
      <c r="G90">
        <f t="shared" si="6"/>
        <v>0</v>
      </c>
      <c r="H90">
        <f t="shared" si="6"/>
        <v>0</v>
      </c>
      <c r="I90">
        <f t="shared" si="6"/>
        <v>0</v>
      </c>
      <c r="J90">
        <f t="shared" si="6"/>
        <v>0</v>
      </c>
    </row>
    <row r="91" spans="1:22" x14ac:dyDescent="0.25">
      <c r="A91" t="s">
        <v>21</v>
      </c>
      <c r="B91">
        <f t="shared" si="5"/>
        <v>1</v>
      </c>
      <c r="C91" s="8">
        <f t="shared" si="6"/>
        <v>96</v>
      </c>
      <c r="D91">
        <f t="shared" si="6"/>
        <v>0</v>
      </c>
      <c r="E91">
        <f t="shared" si="6"/>
        <v>0</v>
      </c>
      <c r="F91">
        <f t="shared" si="6"/>
        <v>0</v>
      </c>
      <c r="G91">
        <f t="shared" si="6"/>
        <v>0</v>
      </c>
      <c r="H91">
        <f t="shared" si="6"/>
        <v>0</v>
      </c>
      <c r="I91">
        <f t="shared" si="6"/>
        <v>0</v>
      </c>
      <c r="J91">
        <f t="shared" si="6"/>
        <v>0</v>
      </c>
    </row>
    <row r="92" spans="1:22" x14ac:dyDescent="0.25">
      <c r="A92" t="s">
        <v>261</v>
      </c>
      <c r="B92">
        <f t="shared" si="5"/>
        <v>3</v>
      </c>
      <c r="C92" s="8"/>
      <c r="J92">
        <f t="shared" ref="C92:J93" si="7">ROUND((Z10/(($B92/$D51)*($C51/$B51)))*N51,0)</f>
        <v>103</v>
      </c>
    </row>
    <row r="93" spans="1:22" x14ac:dyDescent="0.25">
      <c r="A93" t="s">
        <v>22</v>
      </c>
      <c r="B93">
        <f t="shared" ref="B93:B118" si="8">MAX(ROUND($E52/(100/MAX($O52:$V52)),0),1)</f>
        <v>2</v>
      </c>
      <c r="C93" s="8">
        <f t="shared" si="7"/>
        <v>70</v>
      </c>
      <c r="D93">
        <f t="shared" si="7"/>
        <v>0</v>
      </c>
      <c r="E93">
        <f t="shared" si="7"/>
        <v>24</v>
      </c>
      <c r="F93">
        <f t="shared" si="7"/>
        <v>0</v>
      </c>
      <c r="G93">
        <f t="shared" si="7"/>
        <v>110</v>
      </c>
      <c r="H93">
        <f t="shared" si="7"/>
        <v>15</v>
      </c>
      <c r="I93">
        <f t="shared" si="7"/>
        <v>0</v>
      </c>
      <c r="J93">
        <f t="shared" si="7"/>
        <v>0</v>
      </c>
    </row>
    <row r="94" spans="1:22" x14ac:dyDescent="0.25">
      <c r="A94" t="s">
        <v>151</v>
      </c>
      <c r="B94">
        <f t="shared" si="8"/>
        <v>3</v>
      </c>
      <c r="C94" s="8">
        <f t="shared" ref="C94:H94" si="9">ROUND((S12/(($B94/$D53)*($C53/$B53)))*G53,0)</f>
        <v>0</v>
      </c>
      <c r="D94">
        <f t="shared" si="9"/>
        <v>0</v>
      </c>
      <c r="E94">
        <f t="shared" si="9"/>
        <v>0</v>
      </c>
      <c r="F94">
        <f t="shared" si="9"/>
        <v>0</v>
      </c>
      <c r="G94">
        <f t="shared" si="9"/>
        <v>0</v>
      </c>
      <c r="H94">
        <f t="shared" si="9"/>
        <v>0</v>
      </c>
      <c r="I94">
        <f>ROUND((Y13/(($B94/$D53)*($C53/$B53)))*M53,0)</f>
        <v>88</v>
      </c>
      <c r="J94">
        <f t="shared" ref="J94:J99" si="10">ROUND((Z12/(($B94/$D53)*($C53/$B53)))*N53,0)</f>
        <v>0</v>
      </c>
    </row>
    <row r="95" spans="1:22" x14ac:dyDescent="0.25">
      <c r="A95" t="s">
        <v>78</v>
      </c>
      <c r="B95">
        <f t="shared" si="8"/>
        <v>6</v>
      </c>
      <c r="C95" s="8">
        <f>ROUND((S13/(($B95/$D54)*($C54/$B54)))*G54,0)</f>
        <v>0</v>
      </c>
      <c r="D95">
        <f>ROUND((T12/(($B95/$D54)*($C54/$B54)))*H54,0)</f>
        <v>104</v>
      </c>
      <c r="E95">
        <f t="shared" ref="E95:I99" si="11">ROUND((U13/(($B95/$D54)*($C54/$B54)))*I54,0)</f>
        <v>0</v>
      </c>
      <c r="F95">
        <f t="shared" si="11"/>
        <v>0</v>
      </c>
      <c r="G95">
        <f t="shared" si="11"/>
        <v>0</v>
      </c>
      <c r="H95">
        <f t="shared" si="11"/>
        <v>0</v>
      </c>
      <c r="I95">
        <f t="shared" si="11"/>
        <v>0</v>
      </c>
      <c r="J95">
        <f t="shared" si="10"/>
        <v>0</v>
      </c>
    </row>
    <row r="96" spans="1:22" x14ac:dyDescent="0.25">
      <c r="A96" t="s">
        <v>50</v>
      </c>
      <c r="B96">
        <f t="shared" si="8"/>
        <v>4</v>
      </c>
      <c r="C96" s="8">
        <f>ROUND((S14/(($B96/$D55)*($C55/$B55)))*G55,0)</f>
        <v>0</v>
      </c>
      <c r="D96">
        <f>ROUND((T14/(($B96/$D55)*($C55/$B55)))*H55,0)</f>
        <v>0</v>
      </c>
      <c r="E96">
        <f t="shared" si="11"/>
        <v>88</v>
      </c>
      <c r="F96">
        <f t="shared" si="11"/>
        <v>0</v>
      </c>
      <c r="G96">
        <f t="shared" si="11"/>
        <v>0</v>
      </c>
      <c r="H96">
        <f t="shared" si="11"/>
        <v>0</v>
      </c>
      <c r="I96">
        <f t="shared" si="11"/>
        <v>0</v>
      </c>
      <c r="J96">
        <f t="shared" si="10"/>
        <v>0</v>
      </c>
    </row>
    <row r="97" spans="1:10" x14ac:dyDescent="0.25">
      <c r="A97" t="s">
        <v>114</v>
      </c>
      <c r="B97">
        <f t="shared" si="8"/>
        <v>2</v>
      </c>
      <c r="C97" s="8">
        <f>ROUND((S15/(($B97/$D56)*($C56/$B56)))*G56,0)</f>
        <v>0</v>
      </c>
      <c r="D97">
        <f>ROUND((T15/(($B97/$D56)*($C56/$B56)))*H56,0)</f>
        <v>0</v>
      </c>
      <c r="E97">
        <f t="shared" si="11"/>
        <v>0</v>
      </c>
      <c r="F97">
        <f t="shared" si="11"/>
        <v>0</v>
      </c>
      <c r="G97">
        <f t="shared" si="11"/>
        <v>118</v>
      </c>
      <c r="H97">
        <f t="shared" si="11"/>
        <v>43</v>
      </c>
      <c r="I97">
        <f t="shared" si="11"/>
        <v>0</v>
      </c>
      <c r="J97">
        <f t="shared" si="10"/>
        <v>0</v>
      </c>
    </row>
    <row r="98" spans="1:10" x14ac:dyDescent="0.25">
      <c r="A98" t="s">
        <v>56</v>
      </c>
      <c r="B98">
        <f t="shared" si="8"/>
        <v>4</v>
      </c>
      <c r="C98" s="8">
        <f>ROUND((S16/(($B98/$D57)*($C57/$B57)))*G57,0)</f>
        <v>0</v>
      </c>
      <c r="D98">
        <f>ROUND((T16/(($B98/$D57)*($C57/$B57)))*H57,0)</f>
        <v>0</v>
      </c>
      <c r="E98">
        <f t="shared" si="11"/>
        <v>0</v>
      </c>
      <c r="F98">
        <f t="shared" si="11"/>
        <v>96</v>
      </c>
      <c r="G98">
        <f t="shared" si="11"/>
        <v>0</v>
      </c>
      <c r="H98">
        <f t="shared" si="11"/>
        <v>0</v>
      </c>
      <c r="I98">
        <f t="shared" si="11"/>
        <v>0</v>
      </c>
      <c r="J98">
        <f t="shared" si="10"/>
        <v>0</v>
      </c>
    </row>
    <row r="99" spans="1:10" x14ac:dyDescent="0.25">
      <c r="A99" t="s">
        <v>23</v>
      </c>
      <c r="B99">
        <f t="shared" si="8"/>
        <v>2</v>
      </c>
      <c r="C99" s="8">
        <f>ROUND((S17/(($B99/$D58)*($C58/$B58)))*G58,0)</f>
        <v>121</v>
      </c>
      <c r="D99">
        <f>ROUND((T17/(($B99/$D58)*($C58/$B58)))*H58,0)</f>
        <v>0</v>
      </c>
      <c r="E99">
        <f t="shared" si="11"/>
        <v>0</v>
      </c>
      <c r="F99">
        <f t="shared" si="11"/>
        <v>0</v>
      </c>
      <c r="G99">
        <f t="shared" si="11"/>
        <v>0</v>
      </c>
      <c r="H99">
        <f t="shared" si="11"/>
        <v>0</v>
      </c>
      <c r="I99">
        <f t="shared" si="11"/>
        <v>0</v>
      </c>
      <c r="J99">
        <f t="shared" si="10"/>
        <v>0</v>
      </c>
    </row>
    <row r="100" spans="1:10" x14ac:dyDescent="0.25">
      <c r="A100" t="s">
        <v>262</v>
      </c>
      <c r="B100">
        <f t="shared" si="8"/>
        <v>4</v>
      </c>
      <c r="C100" s="8"/>
      <c r="J100">
        <f t="shared" ref="C100:J101" si="12">ROUND((Z18/(($B100/$D59)*($C59/$B59)))*N59,0)</f>
        <v>88</v>
      </c>
    </row>
    <row r="101" spans="1:10" x14ac:dyDescent="0.25">
      <c r="A101" t="s">
        <v>26</v>
      </c>
      <c r="B101">
        <f t="shared" si="8"/>
        <v>4</v>
      </c>
      <c r="C101" s="8">
        <f t="shared" si="12"/>
        <v>37</v>
      </c>
      <c r="D101">
        <f t="shared" si="12"/>
        <v>0</v>
      </c>
      <c r="E101">
        <f t="shared" si="12"/>
        <v>9</v>
      </c>
      <c r="F101">
        <f t="shared" si="12"/>
        <v>0</v>
      </c>
      <c r="G101">
        <f t="shared" si="12"/>
        <v>108</v>
      </c>
      <c r="H101">
        <f t="shared" si="12"/>
        <v>11</v>
      </c>
      <c r="I101">
        <f t="shared" si="12"/>
        <v>0</v>
      </c>
      <c r="J101">
        <f t="shared" si="12"/>
        <v>0</v>
      </c>
    </row>
    <row r="102" spans="1:10" x14ac:dyDescent="0.25">
      <c r="A102" t="s">
        <v>152</v>
      </c>
      <c r="B102">
        <f t="shared" si="8"/>
        <v>3</v>
      </c>
      <c r="C102" s="8">
        <f t="shared" ref="C102:H102" si="13">ROUND((S20/(($B102/$D61)*($C61/$B61)))*G61,0)</f>
        <v>0</v>
      </c>
      <c r="D102">
        <f t="shared" si="13"/>
        <v>0</v>
      </c>
      <c r="E102">
        <f t="shared" si="13"/>
        <v>0</v>
      </c>
      <c r="F102">
        <f t="shared" si="13"/>
        <v>0</v>
      </c>
      <c r="G102">
        <f t="shared" si="13"/>
        <v>0</v>
      </c>
      <c r="H102">
        <f t="shared" si="13"/>
        <v>0</v>
      </c>
      <c r="I102">
        <f>ROUND((Y21/(($B102/$D61)*($C61/$B61)))*M61,0)</f>
        <v>101</v>
      </c>
      <c r="J102">
        <f t="shared" ref="J102:J122" si="14">ROUND((Z20/(($B102/$D61)*($C61/$B61)))*N61,0)</f>
        <v>0</v>
      </c>
    </row>
    <row r="103" spans="1:10" x14ac:dyDescent="0.25">
      <c r="A103" t="s">
        <v>79</v>
      </c>
      <c r="B103">
        <f t="shared" si="8"/>
        <v>15</v>
      </c>
      <c r="C103" s="8">
        <f>ROUND((S21/(($B103/$D62)*($C62/$B62)))*G62,0)</f>
        <v>0</v>
      </c>
      <c r="D103">
        <f>ROUND((T20/(($B103/$D62)*($C62/$B62)))*H62,0)</f>
        <v>61</v>
      </c>
      <c r="E103">
        <f t="shared" ref="E103:I107" si="15">ROUND((U21/(($B103/$D62)*($C62/$B62)))*I62,0)</f>
        <v>0</v>
      </c>
      <c r="F103">
        <f t="shared" si="15"/>
        <v>0</v>
      </c>
      <c r="G103">
        <f t="shared" si="15"/>
        <v>0</v>
      </c>
      <c r="H103">
        <f t="shared" si="15"/>
        <v>0</v>
      </c>
      <c r="I103">
        <f t="shared" si="15"/>
        <v>0</v>
      </c>
      <c r="J103">
        <f t="shared" si="14"/>
        <v>0</v>
      </c>
    </row>
    <row r="104" spans="1:10" x14ac:dyDescent="0.25">
      <c r="A104" t="s">
        <v>51</v>
      </c>
      <c r="B104">
        <f t="shared" si="8"/>
        <v>4</v>
      </c>
      <c r="C104" s="8">
        <f>ROUND((S22/(($B104/$D63)*($C63/$B63)))*G63,0)</f>
        <v>0</v>
      </c>
      <c r="D104">
        <f>ROUND((T22/(($B104/$D63)*($C63/$B63)))*H63,0)</f>
        <v>0</v>
      </c>
      <c r="E104">
        <f t="shared" si="15"/>
        <v>107</v>
      </c>
      <c r="F104">
        <f t="shared" si="15"/>
        <v>0</v>
      </c>
      <c r="G104">
        <f t="shared" si="15"/>
        <v>0</v>
      </c>
      <c r="H104">
        <f t="shared" si="15"/>
        <v>0</v>
      </c>
      <c r="I104">
        <f t="shared" si="15"/>
        <v>0</v>
      </c>
      <c r="J104">
        <f t="shared" si="14"/>
        <v>0</v>
      </c>
    </row>
    <row r="105" spans="1:10" x14ac:dyDescent="0.25">
      <c r="A105" t="s">
        <v>61</v>
      </c>
      <c r="B105">
        <f t="shared" si="8"/>
        <v>5</v>
      </c>
      <c r="C105" s="8">
        <f>ROUND((S23/(($B105/$D64)*($C64/$B64)))*G64,0)</f>
        <v>0</v>
      </c>
      <c r="D105">
        <f>ROUND((T23/(($B105/$D64)*($C64/$B64)))*H64,0)</f>
        <v>0</v>
      </c>
      <c r="E105">
        <f t="shared" si="15"/>
        <v>0</v>
      </c>
      <c r="F105">
        <f t="shared" si="15"/>
        <v>0</v>
      </c>
      <c r="G105">
        <f t="shared" si="15"/>
        <v>107</v>
      </c>
      <c r="H105">
        <f t="shared" si="15"/>
        <v>32</v>
      </c>
      <c r="I105">
        <f t="shared" si="15"/>
        <v>0</v>
      </c>
      <c r="J105">
        <f t="shared" si="14"/>
        <v>0</v>
      </c>
    </row>
    <row r="106" spans="1:10" x14ac:dyDescent="0.25">
      <c r="A106" t="s">
        <v>57</v>
      </c>
      <c r="B106">
        <f t="shared" si="8"/>
        <v>4</v>
      </c>
      <c r="C106" s="8">
        <f>ROUND((S24/(($B106/$D65)*($C65/$B65)))*G65,0)</f>
        <v>0</v>
      </c>
      <c r="D106">
        <f>ROUND((T24/(($B106/$D65)*($C65/$B65)))*H65,0)</f>
        <v>0</v>
      </c>
      <c r="E106">
        <f t="shared" si="15"/>
        <v>0</v>
      </c>
      <c r="F106">
        <f t="shared" si="15"/>
        <v>113</v>
      </c>
      <c r="G106">
        <f t="shared" si="15"/>
        <v>0</v>
      </c>
      <c r="H106">
        <f t="shared" si="15"/>
        <v>0</v>
      </c>
      <c r="I106">
        <f t="shared" si="15"/>
        <v>0</v>
      </c>
      <c r="J106">
        <f t="shared" si="14"/>
        <v>0</v>
      </c>
    </row>
    <row r="107" spans="1:10" x14ac:dyDescent="0.25">
      <c r="A107" t="s">
        <v>24</v>
      </c>
      <c r="B107">
        <f t="shared" si="8"/>
        <v>3</v>
      </c>
      <c r="C107" s="8">
        <f>ROUND((S25/(($B107/$D66)*($C66/$B66)))*G66,0)</f>
        <v>110</v>
      </c>
      <c r="D107">
        <f>ROUND((T25/(($B107/$D66)*($C66/$B66)))*H66,0)</f>
        <v>0</v>
      </c>
      <c r="E107">
        <f t="shared" si="15"/>
        <v>0</v>
      </c>
      <c r="F107">
        <f t="shared" si="15"/>
        <v>0</v>
      </c>
      <c r="G107">
        <f t="shared" si="15"/>
        <v>0</v>
      </c>
      <c r="H107">
        <f t="shared" si="15"/>
        <v>0</v>
      </c>
      <c r="I107">
        <f t="shared" si="15"/>
        <v>0</v>
      </c>
      <c r="J107">
        <f t="shared" si="14"/>
        <v>0</v>
      </c>
    </row>
    <row r="108" spans="1:10" x14ac:dyDescent="0.25">
      <c r="A108" t="s">
        <v>263</v>
      </c>
      <c r="B108">
        <f t="shared" si="8"/>
        <v>5</v>
      </c>
      <c r="C108" s="8"/>
      <c r="J108">
        <f t="shared" si="14"/>
        <v>99</v>
      </c>
    </row>
    <row r="109" spans="1:10" x14ac:dyDescent="0.25">
      <c r="A109" t="s">
        <v>27</v>
      </c>
      <c r="B109">
        <f t="shared" si="8"/>
        <v>5</v>
      </c>
      <c r="C109" s="8">
        <f t="shared" ref="C109:I115" si="16">ROUND((S27/(($B109/$D68)*($C68/$B68)))*G68,0)</f>
        <v>38</v>
      </c>
      <c r="D109">
        <f t="shared" si="16"/>
        <v>0</v>
      </c>
      <c r="E109">
        <f t="shared" si="16"/>
        <v>16</v>
      </c>
      <c r="F109">
        <f t="shared" si="16"/>
        <v>0</v>
      </c>
      <c r="G109">
        <f t="shared" si="16"/>
        <v>109</v>
      </c>
      <c r="H109">
        <f t="shared" si="16"/>
        <v>18</v>
      </c>
      <c r="I109">
        <f t="shared" si="16"/>
        <v>0</v>
      </c>
      <c r="J109">
        <f t="shared" si="14"/>
        <v>0</v>
      </c>
    </row>
    <row r="110" spans="1:10" x14ac:dyDescent="0.25">
      <c r="A110" t="s">
        <v>153</v>
      </c>
      <c r="B110">
        <f t="shared" si="8"/>
        <v>4</v>
      </c>
      <c r="C110" s="8">
        <f t="shared" si="16"/>
        <v>0</v>
      </c>
      <c r="D110">
        <f t="shared" si="16"/>
        <v>0</v>
      </c>
      <c r="E110">
        <f t="shared" si="16"/>
        <v>0</v>
      </c>
      <c r="F110">
        <f t="shared" si="16"/>
        <v>0</v>
      </c>
      <c r="G110">
        <f t="shared" si="16"/>
        <v>0</v>
      </c>
      <c r="H110">
        <f t="shared" si="16"/>
        <v>0</v>
      </c>
      <c r="I110">
        <f t="shared" si="16"/>
        <v>106</v>
      </c>
      <c r="J110">
        <f t="shared" si="14"/>
        <v>0</v>
      </c>
    </row>
    <row r="111" spans="1:10" x14ac:dyDescent="0.25">
      <c r="A111" t="s">
        <v>52</v>
      </c>
      <c r="B111">
        <f t="shared" si="8"/>
        <v>5</v>
      </c>
      <c r="C111" s="8">
        <f t="shared" si="16"/>
        <v>0</v>
      </c>
      <c r="D111">
        <f t="shared" si="16"/>
        <v>0</v>
      </c>
      <c r="E111">
        <f t="shared" si="16"/>
        <v>104</v>
      </c>
      <c r="F111">
        <f t="shared" si="16"/>
        <v>0</v>
      </c>
      <c r="G111">
        <f t="shared" si="16"/>
        <v>0</v>
      </c>
      <c r="H111">
        <f t="shared" si="16"/>
        <v>0</v>
      </c>
      <c r="I111">
        <f t="shared" si="16"/>
        <v>0</v>
      </c>
      <c r="J111">
        <f t="shared" si="14"/>
        <v>0</v>
      </c>
    </row>
    <row r="112" spans="1:10" x14ac:dyDescent="0.25">
      <c r="A112" t="s">
        <v>62</v>
      </c>
      <c r="B112">
        <f t="shared" si="8"/>
        <v>6</v>
      </c>
      <c r="C112" s="8">
        <f t="shared" si="16"/>
        <v>0</v>
      </c>
      <c r="D112">
        <f t="shared" si="16"/>
        <v>0</v>
      </c>
      <c r="E112">
        <f t="shared" si="16"/>
        <v>0</v>
      </c>
      <c r="F112">
        <f t="shared" si="16"/>
        <v>0</v>
      </c>
      <c r="G112">
        <f t="shared" si="16"/>
        <v>100</v>
      </c>
      <c r="H112">
        <f t="shared" si="16"/>
        <v>44</v>
      </c>
      <c r="I112">
        <f t="shared" si="16"/>
        <v>0</v>
      </c>
      <c r="J112">
        <f t="shared" si="14"/>
        <v>0</v>
      </c>
    </row>
    <row r="113" spans="1:19" x14ac:dyDescent="0.25">
      <c r="A113" t="s">
        <v>58</v>
      </c>
      <c r="B113">
        <f t="shared" si="8"/>
        <v>5</v>
      </c>
      <c r="C113" s="8">
        <f t="shared" si="16"/>
        <v>0</v>
      </c>
      <c r="D113">
        <f t="shared" si="16"/>
        <v>0</v>
      </c>
      <c r="E113">
        <f t="shared" si="16"/>
        <v>0</v>
      </c>
      <c r="F113">
        <f t="shared" si="16"/>
        <v>106</v>
      </c>
      <c r="G113">
        <f t="shared" si="16"/>
        <v>0</v>
      </c>
      <c r="H113">
        <f t="shared" si="16"/>
        <v>0</v>
      </c>
      <c r="I113">
        <f t="shared" si="16"/>
        <v>0</v>
      </c>
      <c r="J113">
        <f t="shared" si="14"/>
        <v>0</v>
      </c>
    </row>
    <row r="114" spans="1:19" x14ac:dyDescent="0.25">
      <c r="A114" t="s">
        <v>25</v>
      </c>
      <c r="B114">
        <f t="shared" si="8"/>
        <v>4</v>
      </c>
      <c r="C114" s="8">
        <f t="shared" si="16"/>
        <v>103</v>
      </c>
      <c r="D114">
        <f t="shared" si="16"/>
        <v>0</v>
      </c>
      <c r="E114">
        <f t="shared" si="16"/>
        <v>0</v>
      </c>
      <c r="F114">
        <f t="shared" si="16"/>
        <v>0</v>
      </c>
      <c r="G114">
        <f t="shared" si="16"/>
        <v>0</v>
      </c>
      <c r="H114">
        <f t="shared" si="16"/>
        <v>0</v>
      </c>
      <c r="I114">
        <f t="shared" si="16"/>
        <v>0</v>
      </c>
      <c r="J114">
        <f t="shared" si="14"/>
        <v>0</v>
      </c>
    </row>
    <row r="115" spans="1:19" x14ac:dyDescent="0.25">
      <c r="A115" t="s">
        <v>264</v>
      </c>
      <c r="B115">
        <f t="shared" si="8"/>
        <v>5</v>
      </c>
      <c r="C115" s="8">
        <f t="shared" si="16"/>
        <v>0</v>
      </c>
      <c r="D115">
        <f t="shared" si="16"/>
        <v>0</v>
      </c>
      <c r="E115">
        <f t="shared" si="16"/>
        <v>0</v>
      </c>
      <c r="F115">
        <f t="shared" si="16"/>
        <v>0</v>
      </c>
      <c r="G115">
        <f t="shared" si="16"/>
        <v>0</v>
      </c>
      <c r="H115">
        <f t="shared" si="16"/>
        <v>0</v>
      </c>
      <c r="I115">
        <f t="shared" si="16"/>
        <v>0</v>
      </c>
      <c r="J115">
        <f t="shared" si="14"/>
        <v>105</v>
      </c>
    </row>
    <row r="116" spans="1:19" x14ac:dyDescent="0.25">
      <c r="A116" t="s">
        <v>31</v>
      </c>
      <c r="B116">
        <f t="shared" si="8"/>
        <v>1</v>
      </c>
      <c r="C116" s="8">
        <f t="shared" ref="C116:D118" si="17">ROUND((S34/(($B116/$D75)*($C75/$B75)))*G75,0)</f>
        <v>42</v>
      </c>
      <c r="D116">
        <f t="shared" si="17"/>
        <v>98</v>
      </c>
      <c r="E116">
        <f t="shared" ref="E116" si="18">ROUND((U34/(($B116/$D75)*($C75/$B75)))*I75,0)</f>
        <v>19</v>
      </c>
      <c r="F116">
        <f t="shared" ref="F116" si="19">ROUND((V34/(($B116/$D75)*($C75/$B75)))*J75,0)</f>
        <v>17</v>
      </c>
      <c r="G116">
        <f t="shared" ref="G116" si="20">ROUND((W34/(($B116/$D75)*($C75/$B75)))*K75,0)</f>
        <v>139</v>
      </c>
      <c r="H116">
        <f t="shared" ref="H116" si="21">ROUND((X34/(($B116/$D75)*($C75/$B75)))*L75,0)</f>
        <v>22</v>
      </c>
      <c r="I116">
        <f>ROUND((Y34/(($B116/$D75)*($C75/$B75)))*M75,0)</f>
        <v>49</v>
      </c>
      <c r="J116">
        <f t="shared" si="14"/>
        <v>0</v>
      </c>
    </row>
    <row r="117" spans="1:19" x14ac:dyDescent="0.25">
      <c r="A117" t="s">
        <v>29</v>
      </c>
      <c r="B117">
        <f t="shared" si="8"/>
        <v>8</v>
      </c>
      <c r="C117" s="8">
        <f t="shared" si="17"/>
        <v>37</v>
      </c>
      <c r="D117">
        <f t="shared" si="17"/>
        <v>95</v>
      </c>
      <c r="E117">
        <f>MAX(ROUND((U35/(($B117/$D76)*($C76/$B76)))*I76,0),1)</f>
        <v>3</v>
      </c>
      <c r="F117">
        <f t="shared" ref="F117:H118" si="22">ROUND((V35/(($B117/$D76)*($C76/$B76)))*J76,0)</f>
        <v>21</v>
      </c>
      <c r="G117">
        <f t="shared" si="22"/>
        <v>21</v>
      </c>
      <c r="H117">
        <f t="shared" si="22"/>
        <v>3</v>
      </c>
      <c r="I117">
        <f>ROUND((Y35/(($B117/$D76)*($C76/$B76)))*M76,0)</f>
        <v>12</v>
      </c>
      <c r="J117">
        <f t="shared" si="14"/>
        <v>0</v>
      </c>
    </row>
    <row r="118" spans="1:19" x14ac:dyDescent="0.25">
      <c r="A118" t="s">
        <v>154</v>
      </c>
      <c r="B118">
        <f t="shared" si="8"/>
        <v>9</v>
      </c>
      <c r="C118" s="8">
        <f t="shared" si="17"/>
        <v>0</v>
      </c>
      <c r="D118">
        <f t="shared" si="17"/>
        <v>94</v>
      </c>
      <c r="E118">
        <f>ROUND((U36/(($B118/$D77)*($C77/$B77)))*I77,0)</f>
        <v>0</v>
      </c>
      <c r="F118">
        <f t="shared" si="22"/>
        <v>0</v>
      </c>
      <c r="G118">
        <f t="shared" si="22"/>
        <v>0</v>
      </c>
      <c r="H118">
        <f t="shared" si="22"/>
        <v>0</v>
      </c>
      <c r="I118">
        <f>ROUND((Y36/(($B118/$D77)*($C77/$B77)))*M77,0)</f>
        <v>20</v>
      </c>
      <c r="J118">
        <f t="shared" si="14"/>
        <v>0</v>
      </c>
    </row>
    <row r="119" spans="1:19" x14ac:dyDescent="0.25">
      <c r="A119" t="s">
        <v>221</v>
      </c>
      <c r="B119">
        <v>32</v>
      </c>
      <c r="C119" s="8"/>
      <c r="I119">
        <f>ROUND((Y37/(($B119/$D78)*($C78/$B78)))*M78,0)</f>
        <v>4</v>
      </c>
      <c r="J119">
        <f t="shared" si="14"/>
        <v>2</v>
      </c>
    </row>
    <row r="120" spans="1:19" x14ac:dyDescent="0.25">
      <c r="A120" t="s">
        <v>265</v>
      </c>
      <c r="B120">
        <f>MAX(ROUND($E79/(100/MAX($O79:$V79)),0),1)</f>
        <v>6</v>
      </c>
      <c r="C120" s="8"/>
      <c r="J120">
        <f t="shared" si="14"/>
        <v>102</v>
      </c>
    </row>
    <row r="121" spans="1:19" x14ac:dyDescent="0.25">
      <c r="A121" t="s">
        <v>149</v>
      </c>
      <c r="B121">
        <f>MAX(ROUND($E80/(100/MAX($O80:$V80)),0),1)</f>
        <v>6</v>
      </c>
      <c r="C121" s="8">
        <f t="shared" ref="C121:I122" si="23">ROUND((S39/(($B121/$D80)*($C80/$B80)))*G80,0)</f>
        <v>41</v>
      </c>
      <c r="D121">
        <f t="shared" si="23"/>
        <v>92</v>
      </c>
      <c r="E121">
        <f t="shared" si="23"/>
        <v>7</v>
      </c>
      <c r="F121">
        <f t="shared" si="23"/>
        <v>35</v>
      </c>
      <c r="G121">
        <f t="shared" si="23"/>
        <v>50</v>
      </c>
      <c r="H121">
        <f t="shared" si="23"/>
        <v>18</v>
      </c>
      <c r="I121">
        <f t="shared" si="23"/>
        <v>24</v>
      </c>
      <c r="J121">
        <f t="shared" si="14"/>
        <v>8</v>
      </c>
    </row>
    <row r="122" spans="1:19" x14ac:dyDescent="0.25">
      <c r="A122" t="s">
        <v>30</v>
      </c>
      <c r="B122">
        <f>MAX(ROUND($E81/(100/MAX($O81:$V81)),0),1)</f>
        <v>17</v>
      </c>
      <c r="C122" s="8">
        <f t="shared" si="23"/>
        <v>44</v>
      </c>
      <c r="D122">
        <f t="shared" si="23"/>
        <v>101</v>
      </c>
      <c r="E122">
        <f t="shared" si="23"/>
        <v>7</v>
      </c>
      <c r="F122">
        <f t="shared" si="23"/>
        <v>37</v>
      </c>
      <c r="G122">
        <f t="shared" si="23"/>
        <v>54</v>
      </c>
      <c r="H122">
        <f t="shared" si="23"/>
        <v>18</v>
      </c>
      <c r="I122">
        <f t="shared" si="23"/>
        <v>21</v>
      </c>
      <c r="J122">
        <f t="shared" si="14"/>
        <v>9</v>
      </c>
    </row>
    <row r="124" spans="1:19" x14ac:dyDescent="0.25">
      <c r="A124" s="1" t="s">
        <v>251</v>
      </c>
      <c r="K124" s="1" t="s">
        <v>237</v>
      </c>
    </row>
    <row r="125" spans="1:19" x14ac:dyDescent="0.25">
      <c r="A125" s="1" t="s">
        <v>12</v>
      </c>
      <c r="B125" s="7" t="s">
        <v>2</v>
      </c>
      <c r="C125" s="1" t="s">
        <v>72</v>
      </c>
      <c r="D125" s="1" t="s">
        <v>3</v>
      </c>
      <c r="E125" s="1" t="s">
        <v>4</v>
      </c>
      <c r="F125" s="1" t="s">
        <v>5</v>
      </c>
      <c r="G125" s="1" t="s">
        <v>6</v>
      </c>
      <c r="H125" s="1" t="s">
        <v>224</v>
      </c>
      <c r="I125" s="1" t="s">
        <v>225</v>
      </c>
      <c r="J125" s="13" t="s">
        <v>206</v>
      </c>
      <c r="K125" s="1" t="s">
        <v>2</v>
      </c>
      <c r="L125" s="1" t="s">
        <v>72</v>
      </c>
      <c r="M125" s="1" t="s">
        <v>3</v>
      </c>
      <c r="N125" s="1" t="s">
        <v>4</v>
      </c>
      <c r="O125" s="1" t="s">
        <v>5</v>
      </c>
      <c r="P125" s="1" t="s">
        <v>6</v>
      </c>
      <c r="Q125" s="1" t="s">
        <v>224</v>
      </c>
      <c r="R125" s="1" t="s">
        <v>225</v>
      </c>
      <c r="S125" s="1" t="s">
        <v>206</v>
      </c>
    </row>
    <row r="126" spans="1:19" x14ac:dyDescent="0.25">
      <c r="A126" t="s">
        <v>16</v>
      </c>
      <c r="B126">
        <f t="shared" ref="B126:B163" si="24">$D44*2*G44/100</f>
        <v>1.28</v>
      </c>
      <c r="C126">
        <f t="shared" ref="C126:C163" si="25">$D44*2*H44/100</f>
        <v>0</v>
      </c>
      <c r="D126">
        <f t="shared" ref="D126:D163" si="26">$D44*2*I44/100</f>
        <v>0.24</v>
      </c>
      <c r="E126">
        <f t="shared" ref="E126:E163" si="27">$D44*2*J44/100</f>
        <v>0</v>
      </c>
      <c r="F126">
        <f t="shared" ref="F126:F163" si="28">$D44*2*K44/100</f>
        <v>2.48</v>
      </c>
      <c r="G126">
        <f t="shared" ref="G126:G163" si="29">$D44*2*L44/100</f>
        <v>1.28</v>
      </c>
      <c r="H126">
        <f t="shared" ref="H126:H163" si="30">$D44*2*M44/100</f>
        <v>0</v>
      </c>
      <c r="I126">
        <f t="shared" ref="I126:I163" si="31">$D44*2*N44/100</f>
        <v>0</v>
      </c>
      <c r="J126" s="10">
        <f>SUM(B126:I126)</f>
        <v>5.28</v>
      </c>
      <c r="K126">
        <f t="shared" ref="K126:K163" si="32">$B85*2*C85/100</f>
        <v>3.16</v>
      </c>
      <c r="L126">
        <f t="shared" ref="L126:L163" si="33">$B85*2*D85/100</f>
        <v>0</v>
      </c>
      <c r="M126">
        <f t="shared" ref="M126:M163" si="34">$B85*2*E85/100</f>
        <v>0.96</v>
      </c>
      <c r="N126">
        <f t="shared" ref="N126:N163" si="35">$B85*2*F85/100</f>
        <v>0</v>
      </c>
      <c r="O126">
        <f t="shared" ref="O126:O163" si="36">$B85*2*G85/100</f>
        <v>1.1599999999999999</v>
      </c>
      <c r="P126">
        <f t="shared" ref="P126:P163" si="37">$B85*2*H85/100</f>
        <v>0.64</v>
      </c>
      <c r="Q126">
        <f t="shared" ref="Q126:Q163" si="38">$B85*2*I85/100</f>
        <v>0</v>
      </c>
      <c r="R126">
        <f t="shared" ref="R126:R163" si="39">$B85*2*J85/100</f>
        <v>0</v>
      </c>
      <c r="S126">
        <f>SUM(K126:R126)</f>
        <v>5.92</v>
      </c>
    </row>
    <row r="127" spans="1:19" x14ac:dyDescent="0.25">
      <c r="A127" t="s">
        <v>77</v>
      </c>
      <c r="B127">
        <f t="shared" si="24"/>
        <v>0</v>
      </c>
      <c r="C127">
        <f t="shared" si="25"/>
        <v>10</v>
      </c>
      <c r="D127">
        <f t="shared" si="26"/>
        <v>0</v>
      </c>
      <c r="E127">
        <f t="shared" si="27"/>
        <v>0</v>
      </c>
      <c r="F127">
        <f t="shared" si="28"/>
        <v>0</v>
      </c>
      <c r="G127">
        <f t="shared" si="29"/>
        <v>0</v>
      </c>
      <c r="H127">
        <f t="shared" si="30"/>
        <v>0</v>
      </c>
      <c r="I127">
        <f t="shared" si="31"/>
        <v>0</v>
      </c>
      <c r="J127" s="10">
        <f t="shared" ref="J127:J163" si="40">SUM(B127:I127)</f>
        <v>10</v>
      </c>
      <c r="K127">
        <f t="shared" si="32"/>
        <v>0</v>
      </c>
      <c r="L127">
        <f t="shared" si="33"/>
        <v>9.1999999999999993</v>
      </c>
      <c r="M127">
        <f t="shared" si="34"/>
        <v>0</v>
      </c>
      <c r="N127">
        <f t="shared" si="35"/>
        <v>0</v>
      </c>
      <c r="O127">
        <f t="shared" si="36"/>
        <v>0</v>
      </c>
      <c r="P127">
        <f t="shared" si="37"/>
        <v>0</v>
      </c>
      <c r="Q127">
        <f t="shared" si="38"/>
        <v>0</v>
      </c>
      <c r="R127">
        <f t="shared" si="39"/>
        <v>0</v>
      </c>
      <c r="S127">
        <f t="shared" ref="S127:S163" si="41">SUM(K127:R127)</f>
        <v>9.1999999999999993</v>
      </c>
    </row>
    <row r="128" spans="1:19" x14ac:dyDescent="0.25">
      <c r="A128" t="s">
        <v>150</v>
      </c>
      <c r="B128">
        <f t="shared" si="24"/>
        <v>0</v>
      </c>
      <c r="C128">
        <f t="shared" si="25"/>
        <v>0</v>
      </c>
      <c r="D128">
        <f t="shared" si="26"/>
        <v>0</v>
      </c>
      <c r="E128">
        <f t="shared" si="27"/>
        <v>0</v>
      </c>
      <c r="F128">
        <f t="shared" si="28"/>
        <v>0</v>
      </c>
      <c r="G128">
        <f t="shared" si="29"/>
        <v>0</v>
      </c>
      <c r="H128">
        <f t="shared" si="30"/>
        <v>2.64</v>
      </c>
      <c r="I128">
        <f t="shared" si="31"/>
        <v>0</v>
      </c>
      <c r="J128" s="10">
        <f t="shared" si="40"/>
        <v>2.64</v>
      </c>
      <c r="K128">
        <f t="shared" si="32"/>
        <v>0</v>
      </c>
      <c r="L128">
        <f t="shared" si="33"/>
        <v>0</v>
      </c>
      <c r="M128">
        <f t="shared" si="34"/>
        <v>0</v>
      </c>
      <c r="N128">
        <f t="shared" si="35"/>
        <v>0</v>
      </c>
      <c r="O128">
        <f t="shared" si="36"/>
        <v>0</v>
      </c>
      <c r="P128">
        <f t="shared" si="37"/>
        <v>0</v>
      </c>
      <c r="Q128">
        <f t="shared" si="38"/>
        <v>3.12</v>
      </c>
      <c r="R128">
        <f t="shared" si="39"/>
        <v>0</v>
      </c>
      <c r="S128">
        <f t="shared" si="41"/>
        <v>3.12</v>
      </c>
    </row>
    <row r="129" spans="1:19" x14ac:dyDescent="0.25">
      <c r="A129" t="s">
        <v>49</v>
      </c>
      <c r="B129">
        <f t="shared" si="24"/>
        <v>0</v>
      </c>
      <c r="C129">
        <f t="shared" si="25"/>
        <v>0</v>
      </c>
      <c r="D129">
        <f t="shared" si="26"/>
        <v>4</v>
      </c>
      <c r="E129">
        <f t="shared" si="27"/>
        <v>0</v>
      </c>
      <c r="F129">
        <f t="shared" si="28"/>
        <v>0</v>
      </c>
      <c r="G129">
        <f t="shared" si="29"/>
        <v>0</v>
      </c>
      <c r="H129">
        <f t="shared" si="30"/>
        <v>0</v>
      </c>
      <c r="I129">
        <f t="shared" si="31"/>
        <v>0</v>
      </c>
      <c r="J129" s="10">
        <f t="shared" si="40"/>
        <v>4</v>
      </c>
      <c r="K129">
        <f t="shared" si="32"/>
        <v>0</v>
      </c>
      <c r="L129">
        <f t="shared" si="33"/>
        <v>0</v>
      </c>
      <c r="M129">
        <f t="shared" si="34"/>
        <v>5.34</v>
      </c>
      <c r="N129">
        <f t="shared" si="35"/>
        <v>0</v>
      </c>
      <c r="O129">
        <f t="shared" si="36"/>
        <v>0</v>
      </c>
      <c r="P129">
        <f t="shared" si="37"/>
        <v>0</v>
      </c>
      <c r="Q129">
        <f t="shared" si="38"/>
        <v>0</v>
      </c>
      <c r="R129">
        <f t="shared" si="39"/>
        <v>0</v>
      </c>
      <c r="S129">
        <f t="shared" si="41"/>
        <v>5.34</v>
      </c>
    </row>
    <row r="130" spans="1:19" x14ac:dyDescent="0.25">
      <c r="A130" t="s">
        <v>59</v>
      </c>
      <c r="B130">
        <f t="shared" si="24"/>
        <v>0</v>
      </c>
      <c r="C130">
        <f t="shared" si="25"/>
        <v>0</v>
      </c>
      <c r="D130">
        <f t="shared" si="26"/>
        <v>0</v>
      </c>
      <c r="E130">
        <f t="shared" si="27"/>
        <v>0</v>
      </c>
      <c r="F130">
        <f t="shared" si="28"/>
        <v>2</v>
      </c>
      <c r="G130">
        <f t="shared" si="29"/>
        <v>2</v>
      </c>
      <c r="H130">
        <f t="shared" si="30"/>
        <v>0</v>
      </c>
      <c r="I130">
        <f t="shared" si="31"/>
        <v>0</v>
      </c>
      <c r="J130" s="10">
        <f t="shared" si="40"/>
        <v>4</v>
      </c>
      <c r="K130">
        <f t="shared" si="32"/>
        <v>0</v>
      </c>
      <c r="L130">
        <f t="shared" si="33"/>
        <v>0</v>
      </c>
      <c r="M130">
        <f t="shared" si="34"/>
        <v>0</v>
      </c>
      <c r="N130">
        <f t="shared" si="35"/>
        <v>0</v>
      </c>
      <c r="O130">
        <f t="shared" si="36"/>
        <v>4.12</v>
      </c>
      <c r="P130">
        <f t="shared" si="37"/>
        <v>0.68</v>
      </c>
      <c r="Q130">
        <f t="shared" si="38"/>
        <v>0</v>
      </c>
      <c r="R130">
        <f t="shared" si="39"/>
        <v>0</v>
      </c>
      <c r="S130">
        <f t="shared" si="41"/>
        <v>4.8</v>
      </c>
    </row>
    <row r="131" spans="1:19" x14ac:dyDescent="0.25">
      <c r="A131" t="s">
        <v>55</v>
      </c>
      <c r="B131">
        <f t="shared" si="24"/>
        <v>0</v>
      </c>
      <c r="C131">
        <f t="shared" si="25"/>
        <v>0</v>
      </c>
      <c r="D131">
        <f t="shared" si="26"/>
        <v>0</v>
      </c>
      <c r="E131">
        <f t="shared" si="27"/>
        <v>2</v>
      </c>
      <c r="F131">
        <f t="shared" si="28"/>
        <v>0</v>
      </c>
      <c r="G131">
        <f t="shared" si="29"/>
        <v>0</v>
      </c>
      <c r="H131">
        <f t="shared" si="30"/>
        <v>0</v>
      </c>
      <c r="I131">
        <f t="shared" si="31"/>
        <v>0</v>
      </c>
      <c r="J131" s="10">
        <f t="shared" si="40"/>
        <v>2</v>
      </c>
      <c r="K131">
        <f t="shared" si="32"/>
        <v>0</v>
      </c>
      <c r="L131">
        <f t="shared" si="33"/>
        <v>0</v>
      </c>
      <c r="M131">
        <f t="shared" si="34"/>
        <v>0</v>
      </c>
      <c r="N131">
        <f t="shared" si="35"/>
        <v>6.72</v>
      </c>
      <c r="O131">
        <f t="shared" si="36"/>
        <v>0</v>
      </c>
      <c r="P131">
        <f t="shared" si="37"/>
        <v>0</v>
      </c>
      <c r="Q131">
        <f t="shared" si="38"/>
        <v>0</v>
      </c>
      <c r="R131">
        <f t="shared" si="39"/>
        <v>0</v>
      </c>
      <c r="S131">
        <f t="shared" si="41"/>
        <v>6.72</v>
      </c>
    </row>
    <row r="132" spans="1:19" x14ac:dyDescent="0.25">
      <c r="A132" t="s">
        <v>21</v>
      </c>
      <c r="B132">
        <f t="shared" si="24"/>
        <v>2</v>
      </c>
      <c r="C132">
        <f t="shared" si="25"/>
        <v>0</v>
      </c>
      <c r="D132">
        <f t="shared" si="26"/>
        <v>0</v>
      </c>
      <c r="E132">
        <f t="shared" si="27"/>
        <v>0</v>
      </c>
      <c r="F132">
        <f t="shared" si="28"/>
        <v>0</v>
      </c>
      <c r="G132">
        <f t="shared" si="29"/>
        <v>0</v>
      </c>
      <c r="H132">
        <f t="shared" si="30"/>
        <v>0</v>
      </c>
      <c r="I132">
        <f t="shared" si="31"/>
        <v>0</v>
      </c>
      <c r="J132" s="10">
        <f t="shared" si="40"/>
        <v>2</v>
      </c>
      <c r="K132">
        <f t="shared" si="32"/>
        <v>1.92</v>
      </c>
      <c r="L132">
        <f t="shared" si="33"/>
        <v>0</v>
      </c>
      <c r="M132">
        <f t="shared" si="34"/>
        <v>0</v>
      </c>
      <c r="N132">
        <f t="shared" si="35"/>
        <v>0</v>
      </c>
      <c r="O132">
        <f t="shared" si="36"/>
        <v>0</v>
      </c>
      <c r="P132">
        <f t="shared" si="37"/>
        <v>0</v>
      </c>
      <c r="Q132">
        <f t="shared" si="38"/>
        <v>0</v>
      </c>
      <c r="R132">
        <f t="shared" si="39"/>
        <v>0</v>
      </c>
      <c r="S132">
        <f t="shared" si="41"/>
        <v>1.92</v>
      </c>
    </row>
    <row r="133" spans="1:19" x14ac:dyDescent="0.25">
      <c r="A133" t="s">
        <v>261</v>
      </c>
      <c r="B133">
        <f t="shared" si="24"/>
        <v>0</v>
      </c>
      <c r="C133">
        <f t="shared" si="25"/>
        <v>0</v>
      </c>
      <c r="D133">
        <f t="shared" si="26"/>
        <v>0</v>
      </c>
      <c r="E133">
        <f t="shared" si="27"/>
        <v>0</v>
      </c>
      <c r="F133">
        <f t="shared" si="28"/>
        <v>0</v>
      </c>
      <c r="G133">
        <f t="shared" si="29"/>
        <v>0</v>
      </c>
      <c r="H133">
        <f t="shared" si="30"/>
        <v>0</v>
      </c>
      <c r="I133">
        <f t="shared" si="31"/>
        <v>2.68</v>
      </c>
      <c r="J133" s="10">
        <f t="shared" si="40"/>
        <v>2.68</v>
      </c>
      <c r="K133">
        <f t="shared" si="32"/>
        <v>0</v>
      </c>
      <c r="L133">
        <f t="shared" si="33"/>
        <v>0</v>
      </c>
      <c r="M133">
        <f t="shared" si="34"/>
        <v>0</v>
      </c>
      <c r="N133">
        <f t="shared" si="35"/>
        <v>0</v>
      </c>
      <c r="O133">
        <f t="shared" si="36"/>
        <v>0</v>
      </c>
      <c r="P133">
        <f t="shared" si="37"/>
        <v>0</v>
      </c>
      <c r="Q133">
        <f t="shared" si="38"/>
        <v>0</v>
      </c>
      <c r="R133">
        <f t="shared" si="39"/>
        <v>6.18</v>
      </c>
      <c r="S133">
        <f t="shared" si="41"/>
        <v>6.18</v>
      </c>
    </row>
    <row r="134" spans="1:19" x14ac:dyDescent="0.25">
      <c r="A134" t="s">
        <v>22</v>
      </c>
      <c r="B134">
        <f t="shared" si="24"/>
        <v>2.56</v>
      </c>
      <c r="C134">
        <f t="shared" si="25"/>
        <v>0</v>
      </c>
      <c r="D134">
        <f t="shared" si="26"/>
        <v>0.48</v>
      </c>
      <c r="E134">
        <f t="shared" si="27"/>
        <v>0</v>
      </c>
      <c r="F134">
        <f t="shared" si="28"/>
        <v>4.96</v>
      </c>
      <c r="G134">
        <f t="shared" si="29"/>
        <v>2.56</v>
      </c>
      <c r="H134">
        <f t="shared" si="30"/>
        <v>0</v>
      </c>
      <c r="I134">
        <f t="shared" si="31"/>
        <v>0</v>
      </c>
      <c r="J134" s="10">
        <f t="shared" si="40"/>
        <v>10.56</v>
      </c>
      <c r="K134">
        <f t="shared" si="32"/>
        <v>2.8</v>
      </c>
      <c r="L134">
        <f t="shared" si="33"/>
        <v>0</v>
      </c>
      <c r="M134">
        <f t="shared" si="34"/>
        <v>0.96</v>
      </c>
      <c r="N134">
        <f t="shared" si="35"/>
        <v>0</v>
      </c>
      <c r="O134">
        <f t="shared" si="36"/>
        <v>4.4000000000000004</v>
      </c>
      <c r="P134">
        <f t="shared" si="37"/>
        <v>0.6</v>
      </c>
      <c r="Q134">
        <f t="shared" si="38"/>
        <v>0</v>
      </c>
      <c r="R134">
        <f t="shared" si="39"/>
        <v>0</v>
      </c>
      <c r="S134">
        <f t="shared" si="41"/>
        <v>8.76</v>
      </c>
    </row>
    <row r="135" spans="1:19" x14ac:dyDescent="0.25">
      <c r="A135" t="s">
        <v>151</v>
      </c>
      <c r="B135">
        <f t="shared" si="24"/>
        <v>0</v>
      </c>
      <c r="C135">
        <f t="shared" si="25"/>
        <v>0</v>
      </c>
      <c r="D135">
        <f t="shared" si="26"/>
        <v>0</v>
      </c>
      <c r="E135">
        <f t="shared" si="27"/>
        <v>0</v>
      </c>
      <c r="F135">
        <f t="shared" si="28"/>
        <v>0</v>
      </c>
      <c r="G135">
        <f t="shared" si="29"/>
        <v>0</v>
      </c>
      <c r="H135">
        <f t="shared" si="30"/>
        <v>2.64</v>
      </c>
      <c r="I135">
        <f t="shared" si="31"/>
        <v>0</v>
      </c>
      <c r="J135" s="10">
        <f t="shared" si="40"/>
        <v>2.64</v>
      </c>
      <c r="K135">
        <f t="shared" si="32"/>
        <v>0</v>
      </c>
      <c r="L135">
        <f t="shared" si="33"/>
        <v>0</v>
      </c>
      <c r="M135">
        <f t="shared" si="34"/>
        <v>0</v>
      </c>
      <c r="N135">
        <f t="shared" si="35"/>
        <v>0</v>
      </c>
      <c r="O135">
        <f t="shared" si="36"/>
        <v>0</v>
      </c>
      <c r="P135">
        <f t="shared" si="37"/>
        <v>0</v>
      </c>
      <c r="Q135">
        <f t="shared" si="38"/>
        <v>5.28</v>
      </c>
      <c r="R135">
        <f t="shared" si="39"/>
        <v>0</v>
      </c>
      <c r="S135">
        <f t="shared" si="41"/>
        <v>5.28</v>
      </c>
    </row>
    <row r="136" spans="1:19" x14ac:dyDescent="0.25">
      <c r="A136" t="s">
        <v>78</v>
      </c>
      <c r="B136">
        <f t="shared" si="24"/>
        <v>0</v>
      </c>
      <c r="C136">
        <f t="shared" si="25"/>
        <v>20</v>
      </c>
      <c r="D136">
        <f t="shared" si="26"/>
        <v>0</v>
      </c>
      <c r="E136">
        <f t="shared" si="27"/>
        <v>0</v>
      </c>
      <c r="F136">
        <f t="shared" si="28"/>
        <v>0</v>
      </c>
      <c r="G136">
        <f t="shared" si="29"/>
        <v>0</v>
      </c>
      <c r="H136">
        <f t="shared" si="30"/>
        <v>0</v>
      </c>
      <c r="I136">
        <f t="shared" si="31"/>
        <v>0</v>
      </c>
      <c r="J136" s="10">
        <f t="shared" si="40"/>
        <v>20</v>
      </c>
      <c r="K136">
        <f t="shared" si="32"/>
        <v>0</v>
      </c>
      <c r="L136">
        <f t="shared" si="33"/>
        <v>12.48</v>
      </c>
      <c r="M136">
        <f t="shared" si="34"/>
        <v>0</v>
      </c>
      <c r="N136">
        <f t="shared" si="35"/>
        <v>0</v>
      </c>
      <c r="O136">
        <f t="shared" si="36"/>
        <v>0</v>
      </c>
      <c r="P136">
        <f t="shared" si="37"/>
        <v>0</v>
      </c>
      <c r="Q136">
        <f t="shared" si="38"/>
        <v>0</v>
      </c>
      <c r="R136">
        <f t="shared" si="39"/>
        <v>0</v>
      </c>
      <c r="S136">
        <f t="shared" si="41"/>
        <v>12.48</v>
      </c>
    </row>
    <row r="137" spans="1:19" x14ac:dyDescent="0.25">
      <c r="A137" t="s">
        <v>50</v>
      </c>
      <c r="B137">
        <f t="shared" si="24"/>
        <v>0</v>
      </c>
      <c r="C137">
        <f t="shared" si="25"/>
        <v>0</v>
      </c>
      <c r="D137">
        <f t="shared" si="26"/>
        <v>10</v>
      </c>
      <c r="E137">
        <f t="shared" si="27"/>
        <v>0</v>
      </c>
      <c r="F137">
        <f t="shared" si="28"/>
        <v>0</v>
      </c>
      <c r="G137">
        <f t="shared" si="29"/>
        <v>0</v>
      </c>
      <c r="H137">
        <f t="shared" si="30"/>
        <v>0</v>
      </c>
      <c r="I137">
        <f t="shared" si="31"/>
        <v>0</v>
      </c>
      <c r="J137" s="10">
        <f t="shared" si="40"/>
        <v>10</v>
      </c>
      <c r="K137">
        <f t="shared" si="32"/>
        <v>0</v>
      </c>
      <c r="L137">
        <f t="shared" si="33"/>
        <v>0</v>
      </c>
      <c r="M137">
        <f t="shared" si="34"/>
        <v>7.04</v>
      </c>
      <c r="N137">
        <f t="shared" si="35"/>
        <v>0</v>
      </c>
      <c r="O137">
        <f t="shared" si="36"/>
        <v>0</v>
      </c>
      <c r="P137">
        <f t="shared" si="37"/>
        <v>0</v>
      </c>
      <c r="Q137">
        <f t="shared" si="38"/>
        <v>0</v>
      </c>
      <c r="R137">
        <f t="shared" si="39"/>
        <v>0</v>
      </c>
      <c r="S137">
        <f t="shared" si="41"/>
        <v>7.04</v>
      </c>
    </row>
    <row r="138" spans="1:19" x14ac:dyDescent="0.25">
      <c r="A138" t="s">
        <v>114</v>
      </c>
      <c r="B138">
        <f t="shared" si="24"/>
        <v>0</v>
      </c>
      <c r="C138">
        <f t="shared" si="25"/>
        <v>0</v>
      </c>
      <c r="D138">
        <f t="shared" si="26"/>
        <v>0</v>
      </c>
      <c r="E138">
        <f t="shared" si="27"/>
        <v>0</v>
      </c>
      <c r="F138">
        <f t="shared" si="28"/>
        <v>3</v>
      </c>
      <c r="G138">
        <f t="shared" si="29"/>
        <v>4</v>
      </c>
      <c r="H138">
        <f t="shared" si="30"/>
        <v>0</v>
      </c>
      <c r="I138">
        <f t="shared" si="31"/>
        <v>0</v>
      </c>
      <c r="J138" s="10">
        <f t="shared" si="40"/>
        <v>7</v>
      </c>
      <c r="K138">
        <f t="shared" si="32"/>
        <v>0</v>
      </c>
      <c r="L138">
        <f t="shared" si="33"/>
        <v>0</v>
      </c>
      <c r="M138">
        <f t="shared" si="34"/>
        <v>0</v>
      </c>
      <c r="N138">
        <f t="shared" si="35"/>
        <v>0</v>
      </c>
      <c r="O138">
        <f t="shared" si="36"/>
        <v>4.72</v>
      </c>
      <c r="P138">
        <f t="shared" si="37"/>
        <v>1.72</v>
      </c>
      <c r="Q138">
        <f t="shared" si="38"/>
        <v>0</v>
      </c>
      <c r="R138">
        <f t="shared" si="39"/>
        <v>0</v>
      </c>
      <c r="S138">
        <f t="shared" si="41"/>
        <v>6.4399999999999995</v>
      </c>
    </row>
    <row r="139" spans="1:19" x14ac:dyDescent="0.25">
      <c r="A139" t="s">
        <v>56</v>
      </c>
      <c r="B139">
        <f t="shared" si="24"/>
        <v>0</v>
      </c>
      <c r="C139">
        <f t="shared" si="25"/>
        <v>0</v>
      </c>
      <c r="D139">
        <f t="shared" si="26"/>
        <v>0</v>
      </c>
      <c r="E139">
        <f t="shared" si="27"/>
        <v>4</v>
      </c>
      <c r="F139">
        <f t="shared" si="28"/>
        <v>0</v>
      </c>
      <c r="G139">
        <f t="shared" si="29"/>
        <v>0</v>
      </c>
      <c r="H139">
        <f t="shared" si="30"/>
        <v>0</v>
      </c>
      <c r="I139">
        <f t="shared" si="31"/>
        <v>0</v>
      </c>
      <c r="J139" s="10">
        <f t="shared" si="40"/>
        <v>4</v>
      </c>
      <c r="K139">
        <f t="shared" si="32"/>
        <v>0</v>
      </c>
      <c r="L139">
        <f t="shared" si="33"/>
        <v>0</v>
      </c>
      <c r="M139">
        <f t="shared" si="34"/>
        <v>0</v>
      </c>
      <c r="N139">
        <f t="shared" si="35"/>
        <v>7.68</v>
      </c>
      <c r="O139">
        <f t="shared" si="36"/>
        <v>0</v>
      </c>
      <c r="P139">
        <f t="shared" si="37"/>
        <v>0</v>
      </c>
      <c r="Q139">
        <f t="shared" si="38"/>
        <v>0</v>
      </c>
      <c r="R139">
        <f t="shared" si="39"/>
        <v>0</v>
      </c>
      <c r="S139">
        <f t="shared" si="41"/>
        <v>7.68</v>
      </c>
    </row>
    <row r="140" spans="1:19" x14ac:dyDescent="0.25">
      <c r="A140" t="s">
        <v>23</v>
      </c>
      <c r="B140">
        <f t="shared" si="24"/>
        <v>4</v>
      </c>
      <c r="C140">
        <f t="shared" si="25"/>
        <v>0</v>
      </c>
      <c r="D140">
        <f t="shared" si="26"/>
        <v>0</v>
      </c>
      <c r="E140">
        <f t="shared" si="27"/>
        <v>0</v>
      </c>
      <c r="F140">
        <f t="shared" si="28"/>
        <v>0</v>
      </c>
      <c r="G140">
        <f t="shared" si="29"/>
        <v>0</v>
      </c>
      <c r="H140">
        <f t="shared" si="30"/>
        <v>0</v>
      </c>
      <c r="I140">
        <f t="shared" si="31"/>
        <v>0</v>
      </c>
      <c r="J140" s="10">
        <f t="shared" si="40"/>
        <v>4</v>
      </c>
      <c r="K140">
        <f t="shared" si="32"/>
        <v>4.84</v>
      </c>
      <c r="L140">
        <f t="shared" si="33"/>
        <v>0</v>
      </c>
      <c r="M140">
        <f t="shared" si="34"/>
        <v>0</v>
      </c>
      <c r="N140">
        <f t="shared" si="35"/>
        <v>0</v>
      </c>
      <c r="O140">
        <f t="shared" si="36"/>
        <v>0</v>
      </c>
      <c r="P140">
        <f t="shared" si="37"/>
        <v>0</v>
      </c>
      <c r="Q140">
        <f t="shared" si="38"/>
        <v>0</v>
      </c>
      <c r="R140">
        <f t="shared" si="39"/>
        <v>0</v>
      </c>
      <c r="S140">
        <f t="shared" si="41"/>
        <v>4.84</v>
      </c>
    </row>
    <row r="141" spans="1:19" x14ac:dyDescent="0.25">
      <c r="A141" t="s">
        <v>262</v>
      </c>
      <c r="B141">
        <f t="shared" si="24"/>
        <v>0</v>
      </c>
      <c r="C141">
        <f t="shared" si="25"/>
        <v>0</v>
      </c>
      <c r="D141">
        <f t="shared" si="26"/>
        <v>0</v>
      </c>
      <c r="E141">
        <f t="shared" si="27"/>
        <v>0</v>
      </c>
      <c r="F141">
        <f t="shared" si="28"/>
        <v>0</v>
      </c>
      <c r="G141">
        <f t="shared" si="29"/>
        <v>0</v>
      </c>
      <c r="H141">
        <f t="shared" si="30"/>
        <v>0</v>
      </c>
      <c r="I141">
        <f t="shared" si="31"/>
        <v>9.6</v>
      </c>
      <c r="J141" s="10">
        <f t="shared" si="40"/>
        <v>9.6</v>
      </c>
      <c r="K141">
        <f t="shared" si="32"/>
        <v>0</v>
      </c>
      <c r="L141">
        <f t="shared" si="33"/>
        <v>0</v>
      </c>
      <c r="M141">
        <f t="shared" si="34"/>
        <v>0</v>
      </c>
      <c r="N141">
        <f t="shared" si="35"/>
        <v>0</v>
      </c>
      <c r="O141">
        <f t="shared" si="36"/>
        <v>0</v>
      </c>
      <c r="P141">
        <f t="shared" si="37"/>
        <v>0</v>
      </c>
      <c r="Q141">
        <f t="shared" si="38"/>
        <v>0</v>
      </c>
      <c r="R141">
        <f t="shared" si="39"/>
        <v>7.04</v>
      </c>
      <c r="S141">
        <f t="shared" si="41"/>
        <v>7.04</v>
      </c>
    </row>
    <row r="142" spans="1:19" x14ac:dyDescent="0.25">
      <c r="A142" t="s">
        <v>26</v>
      </c>
      <c r="B142">
        <f t="shared" si="24"/>
        <v>2.56</v>
      </c>
      <c r="C142">
        <f t="shared" si="25"/>
        <v>0</v>
      </c>
      <c r="D142">
        <f t="shared" si="26"/>
        <v>0.48</v>
      </c>
      <c r="E142">
        <f t="shared" si="27"/>
        <v>0</v>
      </c>
      <c r="F142">
        <f t="shared" si="28"/>
        <v>4.96</v>
      </c>
      <c r="G142">
        <f t="shared" si="29"/>
        <v>2.56</v>
      </c>
      <c r="H142">
        <f t="shared" si="30"/>
        <v>0</v>
      </c>
      <c r="I142">
        <f t="shared" si="31"/>
        <v>0</v>
      </c>
      <c r="J142" s="10">
        <f t="shared" si="40"/>
        <v>10.56</v>
      </c>
      <c r="K142">
        <f t="shared" si="32"/>
        <v>2.96</v>
      </c>
      <c r="L142">
        <f t="shared" si="33"/>
        <v>0</v>
      </c>
      <c r="M142">
        <f t="shared" si="34"/>
        <v>0.72</v>
      </c>
      <c r="N142">
        <f t="shared" si="35"/>
        <v>0</v>
      </c>
      <c r="O142">
        <f t="shared" si="36"/>
        <v>8.64</v>
      </c>
      <c r="P142">
        <f t="shared" si="37"/>
        <v>0.88</v>
      </c>
      <c r="Q142">
        <f t="shared" si="38"/>
        <v>0</v>
      </c>
      <c r="R142">
        <f t="shared" si="39"/>
        <v>0</v>
      </c>
      <c r="S142">
        <f t="shared" si="41"/>
        <v>13.200000000000001</v>
      </c>
    </row>
    <row r="143" spans="1:19" x14ac:dyDescent="0.25">
      <c r="A143" t="s">
        <v>152</v>
      </c>
      <c r="B143">
        <f t="shared" si="24"/>
        <v>0</v>
      </c>
      <c r="C143">
        <f t="shared" si="25"/>
        <v>0</v>
      </c>
      <c r="D143">
        <f t="shared" si="26"/>
        <v>0</v>
      </c>
      <c r="E143">
        <f t="shared" si="27"/>
        <v>0</v>
      </c>
      <c r="F143">
        <f t="shared" si="28"/>
        <v>0</v>
      </c>
      <c r="G143">
        <f t="shared" si="29"/>
        <v>0</v>
      </c>
      <c r="H143">
        <f t="shared" si="30"/>
        <v>5.28</v>
      </c>
      <c r="I143">
        <f t="shared" si="31"/>
        <v>0</v>
      </c>
      <c r="J143" s="10">
        <f t="shared" si="40"/>
        <v>5.28</v>
      </c>
      <c r="K143">
        <f t="shared" si="32"/>
        <v>0</v>
      </c>
      <c r="L143">
        <f t="shared" si="33"/>
        <v>0</v>
      </c>
      <c r="M143">
        <f t="shared" si="34"/>
        <v>0</v>
      </c>
      <c r="N143">
        <f t="shared" si="35"/>
        <v>0</v>
      </c>
      <c r="O143">
        <f t="shared" si="36"/>
        <v>0</v>
      </c>
      <c r="P143">
        <f t="shared" si="37"/>
        <v>0</v>
      </c>
      <c r="Q143">
        <f t="shared" si="38"/>
        <v>6.06</v>
      </c>
      <c r="R143">
        <f t="shared" si="39"/>
        <v>0</v>
      </c>
      <c r="S143">
        <f t="shared" si="41"/>
        <v>6.06</v>
      </c>
    </row>
    <row r="144" spans="1:19" x14ac:dyDescent="0.25">
      <c r="A144" t="s">
        <v>79</v>
      </c>
      <c r="B144">
        <f t="shared" si="24"/>
        <v>0</v>
      </c>
      <c r="C144">
        <f t="shared" si="25"/>
        <v>30</v>
      </c>
      <c r="D144">
        <f t="shared" si="26"/>
        <v>0</v>
      </c>
      <c r="E144">
        <f t="shared" si="27"/>
        <v>0</v>
      </c>
      <c r="F144">
        <f t="shared" si="28"/>
        <v>0</v>
      </c>
      <c r="G144">
        <f t="shared" si="29"/>
        <v>0</v>
      </c>
      <c r="H144">
        <f t="shared" si="30"/>
        <v>0</v>
      </c>
      <c r="I144">
        <f t="shared" si="31"/>
        <v>0</v>
      </c>
      <c r="J144" s="10">
        <f t="shared" si="40"/>
        <v>30</v>
      </c>
      <c r="K144">
        <f t="shared" si="32"/>
        <v>0</v>
      </c>
      <c r="L144">
        <f t="shared" si="33"/>
        <v>18.3</v>
      </c>
      <c r="M144">
        <f t="shared" si="34"/>
        <v>0</v>
      </c>
      <c r="N144">
        <f t="shared" si="35"/>
        <v>0</v>
      </c>
      <c r="O144">
        <f t="shared" si="36"/>
        <v>0</v>
      </c>
      <c r="P144">
        <f t="shared" si="37"/>
        <v>0</v>
      </c>
      <c r="Q144">
        <f t="shared" si="38"/>
        <v>0</v>
      </c>
      <c r="R144">
        <f t="shared" si="39"/>
        <v>0</v>
      </c>
      <c r="S144">
        <f t="shared" si="41"/>
        <v>18.3</v>
      </c>
    </row>
    <row r="145" spans="1:19" x14ac:dyDescent="0.25">
      <c r="A145" t="s">
        <v>51</v>
      </c>
      <c r="B145">
        <f t="shared" si="24"/>
        <v>0</v>
      </c>
      <c r="C145">
        <f t="shared" si="25"/>
        <v>0</v>
      </c>
      <c r="D145">
        <f t="shared" si="26"/>
        <v>20</v>
      </c>
      <c r="E145">
        <f t="shared" si="27"/>
        <v>0</v>
      </c>
      <c r="F145">
        <f t="shared" si="28"/>
        <v>0</v>
      </c>
      <c r="G145">
        <f t="shared" si="29"/>
        <v>0</v>
      </c>
      <c r="H145">
        <f t="shared" si="30"/>
        <v>0</v>
      </c>
      <c r="I145">
        <f t="shared" si="31"/>
        <v>0</v>
      </c>
      <c r="J145" s="10">
        <f t="shared" si="40"/>
        <v>20</v>
      </c>
      <c r="K145">
        <f t="shared" si="32"/>
        <v>0</v>
      </c>
      <c r="L145">
        <f t="shared" si="33"/>
        <v>0</v>
      </c>
      <c r="M145">
        <f t="shared" si="34"/>
        <v>8.56</v>
      </c>
      <c r="N145">
        <f t="shared" si="35"/>
        <v>0</v>
      </c>
      <c r="O145">
        <f t="shared" si="36"/>
        <v>0</v>
      </c>
      <c r="P145">
        <f t="shared" si="37"/>
        <v>0</v>
      </c>
      <c r="Q145">
        <f t="shared" si="38"/>
        <v>0</v>
      </c>
      <c r="R145">
        <f t="shared" si="39"/>
        <v>0</v>
      </c>
      <c r="S145">
        <f t="shared" si="41"/>
        <v>8.56</v>
      </c>
    </row>
    <row r="146" spans="1:19" x14ac:dyDescent="0.25">
      <c r="A146" t="s">
        <v>61</v>
      </c>
      <c r="B146">
        <f t="shared" si="24"/>
        <v>0</v>
      </c>
      <c r="C146">
        <f t="shared" si="25"/>
        <v>0</v>
      </c>
      <c r="D146">
        <f t="shared" si="26"/>
        <v>0</v>
      </c>
      <c r="E146">
        <f t="shared" si="27"/>
        <v>0</v>
      </c>
      <c r="F146">
        <f t="shared" si="28"/>
        <v>5.36</v>
      </c>
      <c r="G146">
        <f t="shared" si="29"/>
        <v>8</v>
      </c>
      <c r="H146">
        <f t="shared" si="30"/>
        <v>0</v>
      </c>
      <c r="I146">
        <f t="shared" si="31"/>
        <v>0</v>
      </c>
      <c r="J146" s="10">
        <f t="shared" si="40"/>
        <v>13.36</v>
      </c>
      <c r="K146">
        <f t="shared" si="32"/>
        <v>0</v>
      </c>
      <c r="L146">
        <f t="shared" si="33"/>
        <v>0</v>
      </c>
      <c r="M146">
        <f t="shared" si="34"/>
        <v>0</v>
      </c>
      <c r="N146">
        <f t="shared" si="35"/>
        <v>0</v>
      </c>
      <c r="O146">
        <f t="shared" si="36"/>
        <v>10.7</v>
      </c>
      <c r="P146">
        <f t="shared" si="37"/>
        <v>3.2</v>
      </c>
      <c r="Q146">
        <f t="shared" si="38"/>
        <v>0</v>
      </c>
      <c r="R146">
        <f t="shared" si="39"/>
        <v>0</v>
      </c>
      <c r="S146">
        <f t="shared" si="41"/>
        <v>13.899999999999999</v>
      </c>
    </row>
    <row r="147" spans="1:19" x14ac:dyDescent="0.25">
      <c r="A147" t="s">
        <v>57</v>
      </c>
      <c r="B147">
        <f t="shared" si="24"/>
        <v>0</v>
      </c>
      <c r="C147">
        <f t="shared" si="25"/>
        <v>0</v>
      </c>
      <c r="D147">
        <f t="shared" si="26"/>
        <v>0</v>
      </c>
      <c r="E147">
        <f t="shared" si="27"/>
        <v>6</v>
      </c>
      <c r="F147">
        <f t="shared" si="28"/>
        <v>0</v>
      </c>
      <c r="G147">
        <f t="shared" si="29"/>
        <v>0</v>
      </c>
      <c r="H147">
        <f t="shared" si="30"/>
        <v>0</v>
      </c>
      <c r="I147">
        <f t="shared" si="31"/>
        <v>0</v>
      </c>
      <c r="J147" s="10">
        <f t="shared" si="40"/>
        <v>6</v>
      </c>
      <c r="K147">
        <f t="shared" si="32"/>
        <v>0</v>
      </c>
      <c r="L147">
        <f t="shared" si="33"/>
        <v>0</v>
      </c>
      <c r="M147">
        <f t="shared" si="34"/>
        <v>0</v>
      </c>
      <c r="N147">
        <f t="shared" si="35"/>
        <v>9.0399999999999991</v>
      </c>
      <c r="O147">
        <f t="shared" si="36"/>
        <v>0</v>
      </c>
      <c r="P147">
        <f t="shared" si="37"/>
        <v>0</v>
      </c>
      <c r="Q147">
        <f t="shared" si="38"/>
        <v>0</v>
      </c>
      <c r="R147">
        <f t="shared" si="39"/>
        <v>0</v>
      </c>
      <c r="S147">
        <f t="shared" si="41"/>
        <v>9.0399999999999991</v>
      </c>
    </row>
    <row r="148" spans="1:19" x14ac:dyDescent="0.25">
      <c r="A148" t="s">
        <v>24</v>
      </c>
      <c r="B148">
        <f t="shared" si="24"/>
        <v>6</v>
      </c>
      <c r="C148">
        <f t="shared" si="25"/>
        <v>0</v>
      </c>
      <c r="D148">
        <f t="shared" si="26"/>
        <v>0</v>
      </c>
      <c r="E148">
        <f t="shared" si="27"/>
        <v>0</v>
      </c>
      <c r="F148">
        <f t="shared" si="28"/>
        <v>0</v>
      </c>
      <c r="G148">
        <f t="shared" si="29"/>
        <v>0</v>
      </c>
      <c r="H148">
        <f t="shared" si="30"/>
        <v>0</v>
      </c>
      <c r="I148">
        <f t="shared" si="31"/>
        <v>0</v>
      </c>
      <c r="J148" s="10">
        <f t="shared" si="40"/>
        <v>6</v>
      </c>
      <c r="K148">
        <f t="shared" si="32"/>
        <v>6.6</v>
      </c>
      <c r="L148">
        <f t="shared" si="33"/>
        <v>0</v>
      </c>
      <c r="M148">
        <f t="shared" si="34"/>
        <v>0</v>
      </c>
      <c r="N148">
        <f t="shared" si="35"/>
        <v>0</v>
      </c>
      <c r="O148">
        <f t="shared" si="36"/>
        <v>0</v>
      </c>
      <c r="P148">
        <f t="shared" si="37"/>
        <v>0</v>
      </c>
      <c r="Q148">
        <f t="shared" si="38"/>
        <v>0</v>
      </c>
      <c r="R148">
        <f t="shared" si="39"/>
        <v>0</v>
      </c>
      <c r="S148">
        <f t="shared" si="41"/>
        <v>6.6</v>
      </c>
    </row>
    <row r="149" spans="1:19" x14ac:dyDescent="0.25">
      <c r="A149" t="s">
        <v>263</v>
      </c>
      <c r="B149">
        <f t="shared" si="24"/>
        <v>0</v>
      </c>
      <c r="C149">
        <f t="shared" si="25"/>
        <v>0</v>
      </c>
      <c r="D149">
        <f t="shared" si="26"/>
        <v>0</v>
      </c>
      <c r="E149">
        <f t="shared" si="27"/>
        <v>0</v>
      </c>
      <c r="F149">
        <f t="shared" si="28"/>
        <v>0</v>
      </c>
      <c r="G149">
        <f t="shared" si="29"/>
        <v>0</v>
      </c>
      <c r="H149">
        <f t="shared" si="30"/>
        <v>0</v>
      </c>
      <c r="I149">
        <f t="shared" si="31"/>
        <v>12</v>
      </c>
      <c r="J149" s="10">
        <f t="shared" si="40"/>
        <v>12</v>
      </c>
      <c r="K149">
        <f t="shared" si="32"/>
        <v>0</v>
      </c>
      <c r="L149">
        <f t="shared" si="33"/>
        <v>0</v>
      </c>
      <c r="M149">
        <f t="shared" si="34"/>
        <v>0</v>
      </c>
      <c r="N149">
        <f t="shared" si="35"/>
        <v>0</v>
      </c>
      <c r="O149">
        <f t="shared" si="36"/>
        <v>0</v>
      </c>
      <c r="P149">
        <f t="shared" si="37"/>
        <v>0</v>
      </c>
      <c r="Q149">
        <f t="shared" si="38"/>
        <v>0</v>
      </c>
      <c r="R149">
        <f t="shared" si="39"/>
        <v>9.9</v>
      </c>
      <c r="S149">
        <f t="shared" si="41"/>
        <v>9.9</v>
      </c>
    </row>
    <row r="150" spans="1:19" x14ac:dyDescent="0.25">
      <c r="A150" t="s">
        <v>27</v>
      </c>
      <c r="B150">
        <f t="shared" si="24"/>
        <v>3.84</v>
      </c>
      <c r="C150">
        <f t="shared" si="25"/>
        <v>0</v>
      </c>
      <c r="D150">
        <f t="shared" si="26"/>
        <v>0.72</v>
      </c>
      <c r="E150">
        <f t="shared" si="27"/>
        <v>0</v>
      </c>
      <c r="F150">
        <f t="shared" si="28"/>
        <v>7.44</v>
      </c>
      <c r="G150">
        <f t="shared" si="29"/>
        <v>3.84</v>
      </c>
      <c r="H150">
        <f t="shared" si="30"/>
        <v>0</v>
      </c>
      <c r="I150">
        <f t="shared" si="31"/>
        <v>0</v>
      </c>
      <c r="J150" s="10">
        <f t="shared" si="40"/>
        <v>15.84</v>
      </c>
      <c r="K150">
        <f t="shared" si="32"/>
        <v>3.8</v>
      </c>
      <c r="L150">
        <f t="shared" si="33"/>
        <v>0</v>
      </c>
      <c r="M150">
        <f t="shared" si="34"/>
        <v>1.6</v>
      </c>
      <c r="N150">
        <f t="shared" si="35"/>
        <v>0</v>
      </c>
      <c r="O150">
        <f t="shared" si="36"/>
        <v>10.9</v>
      </c>
      <c r="P150">
        <f t="shared" si="37"/>
        <v>1.8</v>
      </c>
      <c r="Q150">
        <f t="shared" si="38"/>
        <v>0</v>
      </c>
      <c r="R150">
        <f t="shared" si="39"/>
        <v>0</v>
      </c>
      <c r="S150">
        <f t="shared" si="41"/>
        <v>18.100000000000001</v>
      </c>
    </row>
    <row r="151" spans="1:19" x14ac:dyDescent="0.25">
      <c r="A151" t="s">
        <v>153</v>
      </c>
      <c r="B151">
        <f t="shared" si="24"/>
        <v>0</v>
      </c>
      <c r="C151">
        <f t="shared" si="25"/>
        <v>0</v>
      </c>
      <c r="D151">
        <f t="shared" si="26"/>
        <v>0</v>
      </c>
      <c r="E151">
        <f t="shared" si="27"/>
        <v>0</v>
      </c>
      <c r="F151">
        <f t="shared" si="28"/>
        <v>0</v>
      </c>
      <c r="G151">
        <f t="shared" si="29"/>
        <v>0</v>
      </c>
      <c r="H151">
        <f t="shared" si="30"/>
        <v>5.28</v>
      </c>
      <c r="I151">
        <f t="shared" si="31"/>
        <v>0</v>
      </c>
      <c r="J151" s="10">
        <f t="shared" si="40"/>
        <v>5.28</v>
      </c>
      <c r="K151">
        <f t="shared" si="32"/>
        <v>0</v>
      </c>
      <c r="L151">
        <f t="shared" si="33"/>
        <v>0</v>
      </c>
      <c r="M151">
        <f t="shared" si="34"/>
        <v>0</v>
      </c>
      <c r="N151">
        <f t="shared" si="35"/>
        <v>0</v>
      </c>
      <c r="O151">
        <f t="shared" si="36"/>
        <v>0</v>
      </c>
      <c r="P151">
        <f t="shared" si="37"/>
        <v>0</v>
      </c>
      <c r="Q151">
        <f t="shared" si="38"/>
        <v>8.48</v>
      </c>
      <c r="R151">
        <f t="shared" si="39"/>
        <v>0</v>
      </c>
      <c r="S151">
        <f t="shared" si="41"/>
        <v>8.48</v>
      </c>
    </row>
    <row r="152" spans="1:19" x14ac:dyDescent="0.25">
      <c r="A152" t="s">
        <v>52</v>
      </c>
      <c r="B152">
        <f t="shared" si="24"/>
        <v>0</v>
      </c>
      <c r="C152">
        <f t="shared" si="25"/>
        <v>0</v>
      </c>
      <c r="D152">
        <f t="shared" si="26"/>
        <v>30</v>
      </c>
      <c r="E152">
        <f t="shared" si="27"/>
        <v>0</v>
      </c>
      <c r="F152">
        <f t="shared" si="28"/>
        <v>0</v>
      </c>
      <c r="G152">
        <f t="shared" si="29"/>
        <v>0</v>
      </c>
      <c r="H152">
        <f t="shared" si="30"/>
        <v>0</v>
      </c>
      <c r="I152">
        <f t="shared" si="31"/>
        <v>0</v>
      </c>
      <c r="J152" s="10">
        <f t="shared" si="40"/>
        <v>30</v>
      </c>
      <c r="K152">
        <f t="shared" si="32"/>
        <v>0</v>
      </c>
      <c r="L152">
        <f t="shared" si="33"/>
        <v>0</v>
      </c>
      <c r="M152">
        <f t="shared" si="34"/>
        <v>10.4</v>
      </c>
      <c r="N152">
        <f t="shared" si="35"/>
        <v>0</v>
      </c>
      <c r="O152">
        <f t="shared" si="36"/>
        <v>0</v>
      </c>
      <c r="P152">
        <f t="shared" si="37"/>
        <v>0</v>
      </c>
      <c r="Q152">
        <f t="shared" si="38"/>
        <v>0</v>
      </c>
      <c r="R152">
        <f t="shared" si="39"/>
        <v>0</v>
      </c>
      <c r="S152">
        <f t="shared" si="41"/>
        <v>10.4</v>
      </c>
    </row>
    <row r="153" spans="1:19" x14ac:dyDescent="0.25">
      <c r="A153" t="s">
        <v>62</v>
      </c>
      <c r="B153">
        <f t="shared" si="24"/>
        <v>0</v>
      </c>
      <c r="C153">
        <f t="shared" si="25"/>
        <v>0</v>
      </c>
      <c r="D153">
        <f t="shared" si="26"/>
        <v>0</v>
      </c>
      <c r="E153">
        <f t="shared" si="27"/>
        <v>0</v>
      </c>
      <c r="F153">
        <f t="shared" si="28"/>
        <v>8.0399999999999991</v>
      </c>
      <c r="G153">
        <f t="shared" si="29"/>
        <v>12</v>
      </c>
      <c r="H153">
        <f t="shared" si="30"/>
        <v>0</v>
      </c>
      <c r="I153">
        <f t="shared" si="31"/>
        <v>0</v>
      </c>
      <c r="J153" s="10">
        <f t="shared" si="40"/>
        <v>20.04</v>
      </c>
      <c r="K153">
        <f t="shared" si="32"/>
        <v>0</v>
      </c>
      <c r="L153">
        <f t="shared" si="33"/>
        <v>0</v>
      </c>
      <c r="M153">
        <f t="shared" si="34"/>
        <v>0</v>
      </c>
      <c r="N153">
        <f t="shared" si="35"/>
        <v>0</v>
      </c>
      <c r="O153">
        <f t="shared" si="36"/>
        <v>12</v>
      </c>
      <c r="P153">
        <f t="shared" si="37"/>
        <v>5.28</v>
      </c>
      <c r="Q153">
        <f t="shared" si="38"/>
        <v>0</v>
      </c>
      <c r="R153">
        <f t="shared" si="39"/>
        <v>0</v>
      </c>
      <c r="S153">
        <f t="shared" si="41"/>
        <v>17.28</v>
      </c>
    </row>
    <row r="154" spans="1:19" x14ac:dyDescent="0.25">
      <c r="A154" t="s">
        <v>58</v>
      </c>
      <c r="B154">
        <f t="shared" si="24"/>
        <v>0</v>
      </c>
      <c r="C154">
        <f t="shared" si="25"/>
        <v>0</v>
      </c>
      <c r="D154">
        <f t="shared" si="26"/>
        <v>0</v>
      </c>
      <c r="E154">
        <f t="shared" si="27"/>
        <v>8</v>
      </c>
      <c r="F154">
        <f t="shared" si="28"/>
        <v>0</v>
      </c>
      <c r="G154">
        <f t="shared" si="29"/>
        <v>0</v>
      </c>
      <c r="H154">
        <f t="shared" si="30"/>
        <v>0</v>
      </c>
      <c r="I154">
        <f t="shared" si="31"/>
        <v>0</v>
      </c>
      <c r="J154" s="10">
        <f t="shared" si="40"/>
        <v>8</v>
      </c>
      <c r="K154">
        <f t="shared" si="32"/>
        <v>0</v>
      </c>
      <c r="L154">
        <f t="shared" si="33"/>
        <v>0</v>
      </c>
      <c r="M154">
        <f t="shared" si="34"/>
        <v>0</v>
      </c>
      <c r="N154">
        <f t="shared" si="35"/>
        <v>10.6</v>
      </c>
      <c r="O154">
        <f t="shared" si="36"/>
        <v>0</v>
      </c>
      <c r="P154">
        <f t="shared" si="37"/>
        <v>0</v>
      </c>
      <c r="Q154">
        <f t="shared" si="38"/>
        <v>0</v>
      </c>
      <c r="R154">
        <f t="shared" si="39"/>
        <v>0</v>
      </c>
      <c r="S154">
        <f t="shared" si="41"/>
        <v>10.6</v>
      </c>
    </row>
    <row r="155" spans="1:19" x14ac:dyDescent="0.25">
      <c r="A155" t="s">
        <v>25</v>
      </c>
      <c r="B155">
        <f t="shared" si="24"/>
        <v>8</v>
      </c>
      <c r="C155">
        <f t="shared" si="25"/>
        <v>0</v>
      </c>
      <c r="D155">
        <f t="shared" si="26"/>
        <v>0</v>
      </c>
      <c r="E155">
        <f t="shared" si="27"/>
        <v>0</v>
      </c>
      <c r="F155">
        <f t="shared" si="28"/>
        <v>0</v>
      </c>
      <c r="G155">
        <f t="shared" si="29"/>
        <v>0</v>
      </c>
      <c r="H155">
        <f t="shared" si="30"/>
        <v>0</v>
      </c>
      <c r="I155">
        <f t="shared" si="31"/>
        <v>0</v>
      </c>
      <c r="J155" s="10">
        <f t="shared" si="40"/>
        <v>8</v>
      </c>
      <c r="K155">
        <f t="shared" si="32"/>
        <v>8.24</v>
      </c>
      <c r="L155">
        <f t="shared" si="33"/>
        <v>0</v>
      </c>
      <c r="M155">
        <f t="shared" si="34"/>
        <v>0</v>
      </c>
      <c r="N155">
        <f t="shared" si="35"/>
        <v>0</v>
      </c>
      <c r="O155">
        <f t="shared" si="36"/>
        <v>0</v>
      </c>
      <c r="P155">
        <f t="shared" si="37"/>
        <v>0</v>
      </c>
      <c r="Q155">
        <f t="shared" si="38"/>
        <v>0</v>
      </c>
      <c r="R155">
        <f t="shared" si="39"/>
        <v>0</v>
      </c>
      <c r="S155">
        <f t="shared" si="41"/>
        <v>8.24</v>
      </c>
    </row>
    <row r="156" spans="1:19" x14ac:dyDescent="0.25">
      <c r="A156" t="s">
        <v>264</v>
      </c>
      <c r="B156">
        <f t="shared" si="24"/>
        <v>0</v>
      </c>
      <c r="C156">
        <f t="shared" si="25"/>
        <v>0</v>
      </c>
      <c r="D156">
        <f t="shared" si="26"/>
        <v>0</v>
      </c>
      <c r="E156">
        <f t="shared" si="27"/>
        <v>0</v>
      </c>
      <c r="F156">
        <f t="shared" si="28"/>
        <v>0</v>
      </c>
      <c r="G156">
        <f t="shared" si="29"/>
        <v>0</v>
      </c>
      <c r="H156">
        <f t="shared" si="30"/>
        <v>0</v>
      </c>
      <c r="I156">
        <f t="shared" si="31"/>
        <v>14</v>
      </c>
      <c r="J156" s="10">
        <f t="shared" si="40"/>
        <v>14</v>
      </c>
      <c r="K156">
        <f t="shared" si="32"/>
        <v>0</v>
      </c>
      <c r="L156">
        <f t="shared" si="33"/>
        <v>0</v>
      </c>
      <c r="M156">
        <f t="shared" si="34"/>
        <v>0</v>
      </c>
      <c r="N156">
        <f t="shared" si="35"/>
        <v>0</v>
      </c>
      <c r="O156">
        <f t="shared" si="36"/>
        <v>0</v>
      </c>
      <c r="P156">
        <f t="shared" si="37"/>
        <v>0</v>
      </c>
      <c r="Q156">
        <f t="shared" si="38"/>
        <v>0</v>
      </c>
      <c r="R156">
        <f t="shared" si="39"/>
        <v>10.5</v>
      </c>
      <c r="S156">
        <f t="shared" si="41"/>
        <v>10.5</v>
      </c>
    </row>
    <row r="157" spans="1:19" x14ac:dyDescent="0.25">
      <c r="A157" t="s">
        <v>31</v>
      </c>
      <c r="B157">
        <f t="shared" si="24"/>
        <v>2.2400000000000002</v>
      </c>
      <c r="C157">
        <f t="shared" si="25"/>
        <v>1.96</v>
      </c>
      <c r="D157">
        <f t="shared" si="26"/>
        <v>0.42</v>
      </c>
      <c r="E157">
        <f t="shared" si="27"/>
        <v>1.96</v>
      </c>
      <c r="F157">
        <f t="shared" si="28"/>
        <v>4.34</v>
      </c>
      <c r="G157">
        <f t="shared" si="29"/>
        <v>2.2400000000000002</v>
      </c>
      <c r="H157">
        <f t="shared" si="30"/>
        <v>2.8</v>
      </c>
      <c r="I157">
        <f t="shared" si="31"/>
        <v>0</v>
      </c>
      <c r="J157" s="10">
        <f t="shared" si="40"/>
        <v>15.96</v>
      </c>
      <c r="K157">
        <f t="shared" si="32"/>
        <v>0.84</v>
      </c>
      <c r="L157">
        <f t="shared" si="33"/>
        <v>1.96</v>
      </c>
      <c r="M157">
        <f t="shared" si="34"/>
        <v>0.38</v>
      </c>
      <c r="N157">
        <f t="shared" si="35"/>
        <v>0.34</v>
      </c>
      <c r="O157">
        <f t="shared" si="36"/>
        <v>2.78</v>
      </c>
      <c r="P157">
        <f>$B116*2*H116/100</f>
        <v>0.44</v>
      </c>
      <c r="Q157">
        <f t="shared" si="38"/>
        <v>0.98</v>
      </c>
      <c r="R157">
        <f t="shared" si="39"/>
        <v>0</v>
      </c>
      <c r="S157">
        <f t="shared" si="41"/>
        <v>7.7199999999999989</v>
      </c>
    </row>
    <row r="158" spans="1:19" x14ac:dyDescent="0.25">
      <c r="A158" t="s">
        <v>29</v>
      </c>
      <c r="B158">
        <f t="shared" si="24"/>
        <v>4.4800000000000004</v>
      </c>
      <c r="C158">
        <f t="shared" si="25"/>
        <v>3.92</v>
      </c>
      <c r="D158">
        <f t="shared" si="26"/>
        <v>0.84</v>
      </c>
      <c r="E158">
        <f t="shared" si="27"/>
        <v>3.92</v>
      </c>
      <c r="F158">
        <f t="shared" si="28"/>
        <v>8.68</v>
      </c>
      <c r="G158">
        <f t="shared" si="29"/>
        <v>4.4800000000000004</v>
      </c>
      <c r="H158">
        <f t="shared" si="30"/>
        <v>5.6</v>
      </c>
      <c r="I158">
        <f t="shared" si="31"/>
        <v>0</v>
      </c>
      <c r="J158" s="10">
        <f t="shared" si="40"/>
        <v>31.92</v>
      </c>
      <c r="K158">
        <f t="shared" si="32"/>
        <v>5.92</v>
      </c>
      <c r="L158">
        <f t="shared" si="33"/>
        <v>15.2</v>
      </c>
      <c r="M158">
        <f t="shared" si="34"/>
        <v>0.48</v>
      </c>
      <c r="N158">
        <f t="shared" si="35"/>
        <v>3.36</v>
      </c>
      <c r="O158">
        <f t="shared" si="36"/>
        <v>3.36</v>
      </c>
      <c r="P158">
        <f t="shared" si="37"/>
        <v>0.48</v>
      </c>
      <c r="Q158">
        <f t="shared" si="38"/>
        <v>1.92</v>
      </c>
      <c r="R158">
        <f t="shared" si="39"/>
        <v>0</v>
      </c>
      <c r="S158">
        <f t="shared" si="41"/>
        <v>30.72</v>
      </c>
    </row>
    <row r="159" spans="1:19" x14ac:dyDescent="0.25">
      <c r="A159" t="s">
        <v>154</v>
      </c>
      <c r="B159">
        <f t="shared" si="24"/>
        <v>0</v>
      </c>
      <c r="C159">
        <f t="shared" si="25"/>
        <v>2.88</v>
      </c>
      <c r="D159">
        <f t="shared" si="26"/>
        <v>0</v>
      </c>
      <c r="E159">
        <f t="shared" si="27"/>
        <v>0</v>
      </c>
      <c r="F159">
        <f t="shared" si="28"/>
        <v>0</v>
      </c>
      <c r="G159">
        <f t="shared" si="29"/>
        <v>0</v>
      </c>
      <c r="H159">
        <f t="shared" si="30"/>
        <v>4.16</v>
      </c>
      <c r="I159">
        <f t="shared" si="31"/>
        <v>0</v>
      </c>
      <c r="J159" s="10">
        <f t="shared" si="40"/>
        <v>7.04</v>
      </c>
      <c r="K159">
        <f t="shared" si="32"/>
        <v>0</v>
      </c>
      <c r="L159">
        <f t="shared" si="33"/>
        <v>16.920000000000002</v>
      </c>
      <c r="M159">
        <f t="shared" si="34"/>
        <v>0</v>
      </c>
      <c r="N159">
        <f t="shared" si="35"/>
        <v>0</v>
      </c>
      <c r="O159">
        <f t="shared" si="36"/>
        <v>0</v>
      </c>
      <c r="P159">
        <f t="shared" si="37"/>
        <v>0</v>
      </c>
      <c r="Q159">
        <f t="shared" si="38"/>
        <v>3.6</v>
      </c>
      <c r="R159">
        <f t="shared" si="39"/>
        <v>0</v>
      </c>
      <c r="S159">
        <f t="shared" si="41"/>
        <v>20.520000000000003</v>
      </c>
    </row>
    <row r="160" spans="1:19" x14ac:dyDescent="0.25">
      <c r="A160" t="s">
        <v>221</v>
      </c>
      <c r="B160">
        <f t="shared" si="24"/>
        <v>0</v>
      </c>
      <c r="C160">
        <f t="shared" si="25"/>
        <v>0</v>
      </c>
      <c r="D160">
        <f t="shared" si="26"/>
        <v>0</v>
      </c>
      <c r="E160">
        <f t="shared" si="27"/>
        <v>0</v>
      </c>
      <c r="F160">
        <f t="shared" si="28"/>
        <v>0</v>
      </c>
      <c r="G160">
        <f t="shared" si="29"/>
        <v>0</v>
      </c>
      <c r="H160">
        <f t="shared" si="30"/>
        <v>3.2</v>
      </c>
      <c r="I160">
        <f t="shared" si="31"/>
        <v>1.28</v>
      </c>
      <c r="J160" s="10">
        <f t="shared" si="40"/>
        <v>4.4800000000000004</v>
      </c>
      <c r="K160">
        <f t="shared" si="32"/>
        <v>0</v>
      </c>
      <c r="L160">
        <f t="shared" si="33"/>
        <v>0</v>
      </c>
      <c r="M160">
        <f t="shared" si="34"/>
        <v>0</v>
      </c>
      <c r="N160">
        <f t="shared" si="35"/>
        <v>0</v>
      </c>
      <c r="O160">
        <f t="shared" si="36"/>
        <v>0</v>
      </c>
      <c r="P160">
        <f t="shared" si="37"/>
        <v>0</v>
      </c>
      <c r="Q160">
        <f t="shared" si="38"/>
        <v>2.56</v>
      </c>
      <c r="R160">
        <f t="shared" si="39"/>
        <v>1.28</v>
      </c>
      <c r="S160">
        <f t="shared" si="41"/>
        <v>3.84</v>
      </c>
    </row>
    <row r="161" spans="1:19" x14ac:dyDescent="0.25">
      <c r="A161" t="s">
        <v>265</v>
      </c>
      <c r="B161">
        <f t="shared" si="24"/>
        <v>0</v>
      </c>
      <c r="C161">
        <f t="shared" si="25"/>
        <v>0</v>
      </c>
      <c r="D161">
        <f t="shared" si="26"/>
        <v>0</v>
      </c>
      <c r="E161">
        <f t="shared" si="27"/>
        <v>0</v>
      </c>
      <c r="F161">
        <f t="shared" si="28"/>
        <v>0</v>
      </c>
      <c r="G161">
        <f t="shared" si="29"/>
        <v>0</v>
      </c>
      <c r="H161">
        <f t="shared" si="30"/>
        <v>0</v>
      </c>
      <c r="I161">
        <f t="shared" si="31"/>
        <v>8.7200000000000006</v>
      </c>
      <c r="J161" s="10">
        <f t="shared" si="40"/>
        <v>8.7200000000000006</v>
      </c>
      <c r="K161">
        <f t="shared" si="32"/>
        <v>0</v>
      </c>
      <c r="L161">
        <f t="shared" si="33"/>
        <v>0</v>
      </c>
      <c r="M161">
        <f t="shared" si="34"/>
        <v>0</v>
      </c>
      <c r="N161">
        <f t="shared" si="35"/>
        <v>0</v>
      </c>
      <c r="O161">
        <f t="shared" si="36"/>
        <v>0</v>
      </c>
      <c r="P161">
        <f t="shared" si="37"/>
        <v>0</v>
      </c>
      <c r="Q161">
        <f t="shared" si="38"/>
        <v>0</v>
      </c>
      <c r="R161">
        <f t="shared" si="39"/>
        <v>12.24</v>
      </c>
      <c r="S161">
        <f t="shared" si="41"/>
        <v>12.24</v>
      </c>
    </row>
    <row r="162" spans="1:19" x14ac:dyDescent="0.25">
      <c r="A162" t="s">
        <v>149</v>
      </c>
      <c r="B162">
        <f t="shared" si="24"/>
        <v>4.9000000000000004</v>
      </c>
      <c r="C162">
        <f t="shared" si="25"/>
        <v>11.06</v>
      </c>
      <c r="D162">
        <f t="shared" si="26"/>
        <v>0.84</v>
      </c>
      <c r="E162">
        <f t="shared" si="27"/>
        <v>4.2</v>
      </c>
      <c r="F162">
        <f t="shared" si="28"/>
        <v>6.02</v>
      </c>
      <c r="G162">
        <f t="shared" si="29"/>
        <v>2.1</v>
      </c>
      <c r="H162">
        <f t="shared" si="30"/>
        <v>2.38</v>
      </c>
      <c r="I162">
        <f t="shared" si="31"/>
        <v>0.98</v>
      </c>
      <c r="J162" s="10">
        <f t="shared" si="40"/>
        <v>32.479999999999997</v>
      </c>
      <c r="K162">
        <f t="shared" si="32"/>
        <v>4.92</v>
      </c>
      <c r="L162">
        <f t="shared" si="33"/>
        <v>11.04</v>
      </c>
      <c r="M162">
        <f t="shared" si="34"/>
        <v>0.84</v>
      </c>
      <c r="N162">
        <f t="shared" si="35"/>
        <v>4.2</v>
      </c>
      <c r="O162">
        <f t="shared" si="36"/>
        <v>6</v>
      </c>
      <c r="P162">
        <f t="shared" si="37"/>
        <v>2.16</v>
      </c>
      <c r="Q162">
        <f t="shared" si="38"/>
        <v>2.88</v>
      </c>
      <c r="R162">
        <f t="shared" si="39"/>
        <v>0.96</v>
      </c>
      <c r="S162">
        <f t="shared" si="41"/>
        <v>33</v>
      </c>
    </row>
    <row r="163" spans="1:19" x14ac:dyDescent="0.25">
      <c r="A163" t="s">
        <v>30</v>
      </c>
      <c r="B163">
        <f t="shared" si="24"/>
        <v>14.7</v>
      </c>
      <c r="C163">
        <f t="shared" si="25"/>
        <v>33.18</v>
      </c>
      <c r="D163">
        <f t="shared" si="26"/>
        <v>2.52</v>
      </c>
      <c r="E163">
        <f t="shared" si="27"/>
        <v>12.6</v>
      </c>
      <c r="F163">
        <f t="shared" si="28"/>
        <v>18.059999999999999</v>
      </c>
      <c r="G163">
        <f t="shared" si="29"/>
        <v>6.3</v>
      </c>
      <c r="H163">
        <f t="shared" si="30"/>
        <v>7.14</v>
      </c>
      <c r="I163">
        <f t="shared" si="31"/>
        <v>2.94</v>
      </c>
      <c r="J163" s="10">
        <f t="shared" si="40"/>
        <v>97.44</v>
      </c>
      <c r="K163">
        <f t="shared" si="32"/>
        <v>14.96</v>
      </c>
      <c r="L163">
        <f t="shared" si="33"/>
        <v>34.340000000000003</v>
      </c>
      <c r="M163">
        <f t="shared" si="34"/>
        <v>2.38</v>
      </c>
      <c r="N163">
        <f t="shared" si="35"/>
        <v>12.58</v>
      </c>
      <c r="O163">
        <f t="shared" si="36"/>
        <v>18.36</v>
      </c>
      <c r="P163">
        <f t="shared" si="37"/>
        <v>6.12</v>
      </c>
      <c r="Q163">
        <f t="shared" si="38"/>
        <v>7.14</v>
      </c>
      <c r="R163">
        <f t="shared" si="39"/>
        <v>3.06</v>
      </c>
      <c r="S163">
        <f t="shared" si="41"/>
        <v>98.940000000000012</v>
      </c>
    </row>
    <row r="165" spans="1:19" x14ac:dyDescent="0.25">
      <c r="B165" s="1" t="s">
        <v>252</v>
      </c>
      <c r="J165" s="10"/>
      <c r="K165" s="1" t="s">
        <v>253</v>
      </c>
    </row>
    <row r="166" spans="1:19" x14ac:dyDescent="0.25">
      <c r="A166" s="1" t="s">
        <v>12</v>
      </c>
      <c r="B166" s="1" t="s">
        <v>2</v>
      </c>
      <c r="C166" s="1" t="s">
        <v>72</v>
      </c>
      <c r="D166" s="1" t="s">
        <v>3</v>
      </c>
      <c r="E166" s="1" t="s">
        <v>4</v>
      </c>
      <c r="F166" s="1" t="s">
        <v>250</v>
      </c>
      <c r="G166" s="1" t="s">
        <v>6</v>
      </c>
      <c r="H166" s="1" t="s">
        <v>224</v>
      </c>
      <c r="I166" s="1" t="s">
        <v>225</v>
      </c>
      <c r="J166" s="10"/>
      <c r="K166" s="1" t="s">
        <v>2</v>
      </c>
      <c r="L166" s="1" t="s">
        <v>72</v>
      </c>
      <c r="M166" s="1" t="s">
        <v>3</v>
      </c>
      <c r="N166" s="1" t="s">
        <v>4</v>
      </c>
      <c r="O166" s="1" t="s">
        <v>250</v>
      </c>
      <c r="P166" s="1" t="s">
        <v>6</v>
      </c>
      <c r="Q166" s="1" t="s">
        <v>224</v>
      </c>
      <c r="R166" s="1" t="s">
        <v>225</v>
      </c>
    </row>
    <row r="167" spans="1:19" x14ac:dyDescent="0.25">
      <c r="A167" t="s">
        <v>16</v>
      </c>
      <c r="B167">
        <f t="shared" ref="B167:I176" si="42">B126*$B44</f>
        <v>96</v>
      </c>
      <c r="C167">
        <f t="shared" si="42"/>
        <v>0</v>
      </c>
      <c r="D167">
        <f t="shared" si="42"/>
        <v>18</v>
      </c>
      <c r="E167">
        <f t="shared" si="42"/>
        <v>0</v>
      </c>
      <c r="F167">
        <f t="shared" si="42"/>
        <v>186</v>
      </c>
      <c r="G167">
        <f t="shared" si="42"/>
        <v>96</v>
      </c>
      <c r="H167">
        <f t="shared" si="42"/>
        <v>0</v>
      </c>
      <c r="I167">
        <f t="shared" si="42"/>
        <v>0</v>
      </c>
      <c r="J167" s="10"/>
      <c r="K167">
        <f t="shared" ref="K167:R176" si="43">K126*$C44</f>
        <v>151.68</v>
      </c>
      <c r="L167">
        <f t="shared" si="43"/>
        <v>0</v>
      </c>
      <c r="M167">
        <f t="shared" si="43"/>
        <v>46.08</v>
      </c>
      <c r="N167">
        <f t="shared" si="43"/>
        <v>0</v>
      </c>
      <c r="O167">
        <f t="shared" si="43"/>
        <v>55.679999999999993</v>
      </c>
      <c r="P167">
        <f t="shared" si="43"/>
        <v>30.72</v>
      </c>
      <c r="Q167">
        <f t="shared" si="43"/>
        <v>0</v>
      </c>
      <c r="R167">
        <f t="shared" si="43"/>
        <v>0</v>
      </c>
    </row>
    <row r="168" spans="1:19" x14ac:dyDescent="0.25">
      <c r="A168" t="s">
        <v>77</v>
      </c>
      <c r="B168">
        <f t="shared" si="42"/>
        <v>0</v>
      </c>
      <c r="C168">
        <f t="shared" si="42"/>
        <v>420</v>
      </c>
      <c r="D168">
        <f t="shared" si="42"/>
        <v>0</v>
      </c>
      <c r="E168">
        <f t="shared" si="42"/>
        <v>0</v>
      </c>
      <c r="F168">
        <f t="shared" si="42"/>
        <v>0</v>
      </c>
      <c r="G168">
        <f t="shared" si="42"/>
        <v>0</v>
      </c>
      <c r="H168">
        <f t="shared" si="42"/>
        <v>0</v>
      </c>
      <c r="I168">
        <f t="shared" si="42"/>
        <v>0</v>
      </c>
      <c r="J168" s="10"/>
      <c r="K168">
        <f t="shared" si="43"/>
        <v>0</v>
      </c>
      <c r="L168">
        <f t="shared" si="43"/>
        <v>138</v>
      </c>
      <c r="M168">
        <f t="shared" si="43"/>
        <v>0</v>
      </c>
      <c r="N168">
        <f t="shared" si="43"/>
        <v>0</v>
      </c>
      <c r="O168">
        <f t="shared" si="43"/>
        <v>0</v>
      </c>
      <c r="P168">
        <f t="shared" si="43"/>
        <v>0</v>
      </c>
      <c r="Q168">
        <f t="shared" si="43"/>
        <v>0</v>
      </c>
      <c r="R168">
        <f t="shared" si="43"/>
        <v>0</v>
      </c>
    </row>
    <row r="169" spans="1:19" x14ac:dyDescent="0.25">
      <c r="A169" t="s">
        <v>150</v>
      </c>
      <c r="B169">
        <f t="shared" si="42"/>
        <v>0</v>
      </c>
      <c r="C169">
        <f t="shared" si="42"/>
        <v>0</v>
      </c>
      <c r="D169">
        <f t="shared" si="42"/>
        <v>0</v>
      </c>
      <c r="E169">
        <f t="shared" si="42"/>
        <v>0</v>
      </c>
      <c r="F169">
        <f t="shared" si="42"/>
        <v>0</v>
      </c>
      <c r="G169">
        <f t="shared" si="42"/>
        <v>0</v>
      </c>
      <c r="H169">
        <f t="shared" si="42"/>
        <v>21.12</v>
      </c>
      <c r="I169">
        <f t="shared" si="42"/>
        <v>0</v>
      </c>
      <c r="J169" s="10"/>
      <c r="K169">
        <f t="shared" si="43"/>
        <v>0</v>
      </c>
      <c r="L169">
        <f t="shared" si="43"/>
        <v>0</v>
      </c>
      <c r="M169">
        <f t="shared" si="43"/>
        <v>0</v>
      </c>
      <c r="N169">
        <f t="shared" si="43"/>
        <v>0</v>
      </c>
      <c r="O169">
        <f t="shared" si="43"/>
        <v>0</v>
      </c>
      <c r="P169">
        <f t="shared" si="43"/>
        <v>0</v>
      </c>
      <c r="Q169">
        <f t="shared" si="43"/>
        <v>9.36</v>
      </c>
      <c r="R169">
        <f t="shared" si="43"/>
        <v>0</v>
      </c>
    </row>
    <row r="170" spans="1:19" x14ac:dyDescent="0.25">
      <c r="A170" t="s">
        <v>49</v>
      </c>
      <c r="B170">
        <f t="shared" si="42"/>
        <v>0</v>
      </c>
      <c r="C170">
        <f t="shared" si="42"/>
        <v>0</v>
      </c>
      <c r="D170">
        <f t="shared" si="42"/>
        <v>8</v>
      </c>
      <c r="E170">
        <f t="shared" si="42"/>
        <v>0</v>
      </c>
      <c r="F170">
        <f t="shared" si="42"/>
        <v>0</v>
      </c>
      <c r="G170">
        <f t="shared" si="42"/>
        <v>0</v>
      </c>
      <c r="H170">
        <f t="shared" si="42"/>
        <v>0</v>
      </c>
      <c r="I170">
        <f t="shared" si="42"/>
        <v>0</v>
      </c>
      <c r="J170" s="10"/>
      <c r="K170">
        <f t="shared" si="43"/>
        <v>0</v>
      </c>
      <c r="L170">
        <f t="shared" si="43"/>
        <v>0</v>
      </c>
      <c r="M170">
        <f t="shared" si="43"/>
        <v>10.68</v>
      </c>
      <c r="N170">
        <f t="shared" si="43"/>
        <v>0</v>
      </c>
      <c r="O170">
        <f t="shared" si="43"/>
        <v>0</v>
      </c>
      <c r="P170">
        <f t="shared" si="43"/>
        <v>0</v>
      </c>
      <c r="Q170">
        <f t="shared" si="43"/>
        <v>0</v>
      </c>
      <c r="R170">
        <f t="shared" si="43"/>
        <v>0</v>
      </c>
    </row>
    <row r="171" spans="1:19" x14ac:dyDescent="0.25">
      <c r="A171" t="s">
        <v>59</v>
      </c>
      <c r="B171">
        <f t="shared" si="42"/>
        <v>0</v>
      </c>
      <c r="C171">
        <f t="shared" si="42"/>
        <v>0</v>
      </c>
      <c r="D171">
        <f t="shared" si="42"/>
        <v>0</v>
      </c>
      <c r="E171">
        <f t="shared" si="42"/>
        <v>0</v>
      </c>
      <c r="F171">
        <f t="shared" si="42"/>
        <v>54</v>
      </c>
      <c r="G171">
        <f t="shared" si="42"/>
        <v>54</v>
      </c>
      <c r="H171">
        <f t="shared" si="42"/>
        <v>0</v>
      </c>
      <c r="I171">
        <f t="shared" si="42"/>
        <v>0</v>
      </c>
      <c r="J171" s="10"/>
      <c r="K171">
        <f t="shared" si="43"/>
        <v>0</v>
      </c>
      <c r="L171">
        <f t="shared" si="43"/>
        <v>0</v>
      </c>
      <c r="M171">
        <f t="shared" si="43"/>
        <v>0</v>
      </c>
      <c r="N171">
        <f t="shared" si="43"/>
        <v>0</v>
      </c>
      <c r="O171">
        <f t="shared" si="43"/>
        <v>90.64</v>
      </c>
      <c r="P171">
        <f t="shared" si="43"/>
        <v>14.96</v>
      </c>
      <c r="Q171">
        <f t="shared" si="43"/>
        <v>0</v>
      </c>
      <c r="R171">
        <f t="shared" si="43"/>
        <v>0</v>
      </c>
    </row>
    <row r="172" spans="1:19" x14ac:dyDescent="0.25">
      <c r="A172" t="s">
        <v>55</v>
      </c>
      <c r="B172">
        <f t="shared" si="42"/>
        <v>0</v>
      </c>
      <c r="C172">
        <f t="shared" si="42"/>
        <v>0</v>
      </c>
      <c r="D172">
        <f t="shared" si="42"/>
        <v>0</v>
      </c>
      <c r="E172">
        <f t="shared" si="42"/>
        <v>64</v>
      </c>
      <c r="F172">
        <f t="shared" si="42"/>
        <v>0</v>
      </c>
      <c r="G172">
        <f t="shared" si="42"/>
        <v>0</v>
      </c>
      <c r="H172">
        <f t="shared" si="42"/>
        <v>0</v>
      </c>
      <c r="I172">
        <f t="shared" si="42"/>
        <v>0</v>
      </c>
      <c r="J172" s="10"/>
      <c r="K172">
        <f t="shared" si="43"/>
        <v>0</v>
      </c>
      <c r="L172">
        <f t="shared" si="43"/>
        <v>0</v>
      </c>
      <c r="M172">
        <f t="shared" si="43"/>
        <v>0</v>
      </c>
      <c r="N172">
        <f t="shared" si="43"/>
        <v>403.2</v>
      </c>
      <c r="O172">
        <f t="shared" si="43"/>
        <v>0</v>
      </c>
      <c r="P172">
        <f t="shared" si="43"/>
        <v>0</v>
      </c>
      <c r="Q172">
        <f t="shared" si="43"/>
        <v>0</v>
      </c>
      <c r="R172">
        <f t="shared" si="43"/>
        <v>0</v>
      </c>
    </row>
    <row r="173" spans="1:19" x14ac:dyDescent="0.25">
      <c r="A173" t="s">
        <v>21</v>
      </c>
      <c r="B173">
        <f t="shared" si="42"/>
        <v>48</v>
      </c>
      <c r="C173">
        <f t="shared" si="42"/>
        <v>0</v>
      </c>
      <c r="D173">
        <f t="shared" si="42"/>
        <v>0</v>
      </c>
      <c r="E173">
        <f t="shared" si="42"/>
        <v>0</v>
      </c>
      <c r="F173">
        <f t="shared" si="42"/>
        <v>0</v>
      </c>
      <c r="G173">
        <f t="shared" si="42"/>
        <v>0</v>
      </c>
      <c r="H173">
        <f t="shared" si="42"/>
        <v>0</v>
      </c>
      <c r="I173">
        <f t="shared" si="42"/>
        <v>0</v>
      </c>
      <c r="J173" s="10"/>
      <c r="K173">
        <f t="shared" si="43"/>
        <v>30.72</v>
      </c>
      <c r="L173">
        <f t="shared" si="43"/>
        <v>0</v>
      </c>
      <c r="M173">
        <f t="shared" si="43"/>
        <v>0</v>
      </c>
      <c r="N173">
        <f t="shared" si="43"/>
        <v>0</v>
      </c>
      <c r="O173">
        <f t="shared" si="43"/>
        <v>0</v>
      </c>
      <c r="P173">
        <f t="shared" si="43"/>
        <v>0</v>
      </c>
      <c r="Q173">
        <f t="shared" si="43"/>
        <v>0</v>
      </c>
      <c r="R173">
        <f t="shared" si="43"/>
        <v>0</v>
      </c>
    </row>
    <row r="174" spans="1:19" x14ac:dyDescent="0.25">
      <c r="A174" t="s">
        <v>261</v>
      </c>
      <c r="B174">
        <f t="shared" si="42"/>
        <v>0</v>
      </c>
      <c r="C174">
        <f t="shared" si="42"/>
        <v>0</v>
      </c>
      <c r="D174">
        <f t="shared" si="42"/>
        <v>0</v>
      </c>
      <c r="E174">
        <f t="shared" si="42"/>
        <v>0</v>
      </c>
      <c r="F174">
        <f t="shared" si="42"/>
        <v>0</v>
      </c>
      <c r="G174">
        <f t="shared" si="42"/>
        <v>0</v>
      </c>
      <c r="H174">
        <f t="shared" si="42"/>
        <v>0</v>
      </c>
      <c r="I174">
        <f t="shared" si="42"/>
        <v>64.320000000000007</v>
      </c>
      <c r="J174" s="10"/>
      <c r="K174">
        <f t="shared" si="43"/>
        <v>0</v>
      </c>
      <c r="L174">
        <f t="shared" si="43"/>
        <v>0</v>
      </c>
      <c r="M174">
        <f t="shared" si="43"/>
        <v>0</v>
      </c>
      <c r="N174">
        <f t="shared" si="43"/>
        <v>0</v>
      </c>
      <c r="O174">
        <f t="shared" si="43"/>
        <v>0</v>
      </c>
      <c r="P174">
        <f t="shared" si="43"/>
        <v>0</v>
      </c>
      <c r="Q174">
        <f t="shared" si="43"/>
        <v>0</v>
      </c>
      <c r="R174">
        <f t="shared" si="43"/>
        <v>346.08</v>
      </c>
    </row>
    <row r="175" spans="1:19" x14ac:dyDescent="0.25">
      <c r="A175" t="s">
        <v>22</v>
      </c>
      <c r="B175">
        <f t="shared" si="42"/>
        <v>115.2</v>
      </c>
      <c r="C175">
        <f t="shared" si="42"/>
        <v>0</v>
      </c>
      <c r="D175">
        <f t="shared" si="42"/>
        <v>21.599999999999998</v>
      </c>
      <c r="E175">
        <f t="shared" si="42"/>
        <v>0</v>
      </c>
      <c r="F175">
        <f t="shared" si="42"/>
        <v>223.2</v>
      </c>
      <c r="G175">
        <f t="shared" si="42"/>
        <v>115.2</v>
      </c>
      <c r="H175">
        <f t="shared" si="42"/>
        <v>0</v>
      </c>
      <c r="I175">
        <f t="shared" si="42"/>
        <v>0</v>
      </c>
      <c r="J175" s="10"/>
      <c r="K175">
        <f t="shared" si="43"/>
        <v>112</v>
      </c>
      <c r="L175">
        <f t="shared" si="43"/>
        <v>0</v>
      </c>
      <c r="M175">
        <f t="shared" si="43"/>
        <v>38.4</v>
      </c>
      <c r="N175">
        <f t="shared" si="43"/>
        <v>0</v>
      </c>
      <c r="O175">
        <f t="shared" si="43"/>
        <v>176</v>
      </c>
      <c r="P175">
        <f t="shared" si="43"/>
        <v>24</v>
      </c>
      <c r="Q175">
        <f t="shared" si="43"/>
        <v>0</v>
      </c>
      <c r="R175">
        <f t="shared" si="43"/>
        <v>0</v>
      </c>
    </row>
    <row r="176" spans="1:19" x14ac:dyDescent="0.25">
      <c r="A176" t="s">
        <v>151</v>
      </c>
      <c r="B176">
        <f t="shared" si="42"/>
        <v>0</v>
      </c>
      <c r="C176">
        <f t="shared" si="42"/>
        <v>0</v>
      </c>
      <c r="D176">
        <f t="shared" si="42"/>
        <v>0</v>
      </c>
      <c r="E176">
        <f t="shared" si="42"/>
        <v>0</v>
      </c>
      <c r="F176">
        <f t="shared" si="42"/>
        <v>0</v>
      </c>
      <c r="G176">
        <f t="shared" si="42"/>
        <v>0</v>
      </c>
      <c r="H176">
        <f t="shared" si="42"/>
        <v>73.92</v>
      </c>
      <c r="I176">
        <f t="shared" si="42"/>
        <v>0</v>
      </c>
      <c r="J176" s="10"/>
      <c r="K176">
        <f t="shared" si="43"/>
        <v>0</v>
      </c>
      <c r="L176">
        <f t="shared" si="43"/>
        <v>0</v>
      </c>
      <c r="M176">
        <f t="shared" si="43"/>
        <v>0</v>
      </c>
      <c r="N176">
        <f t="shared" si="43"/>
        <v>0</v>
      </c>
      <c r="O176">
        <f t="shared" si="43"/>
        <v>0</v>
      </c>
      <c r="P176">
        <f t="shared" si="43"/>
        <v>0</v>
      </c>
      <c r="Q176">
        <f t="shared" si="43"/>
        <v>26.400000000000002</v>
      </c>
      <c r="R176">
        <f t="shared" si="43"/>
        <v>0</v>
      </c>
    </row>
    <row r="177" spans="1:18" x14ac:dyDescent="0.25">
      <c r="A177" t="s">
        <v>78</v>
      </c>
      <c r="B177">
        <f t="shared" ref="B177:I186" si="44">B136*$B54</f>
        <v>0</v>
      </c>
      <c r="C177">
        <f t="shared" si="44"/>
        <v>420</v>
      </c>
      <c r="D177">
        <f t="shared" si="44"/>
        <v>0</v>
      </c>
      <c r="E177">
        <f t="shared" si="44"/>
        <v>0</v>
      </c>
      <c r="F177">
        <f t="shared" si="44"/>
        <v>0</v>
      </c>
      <c r="G177">
        <f t="shared" si="44"/>
        <v>0</v>
      </c>
      <c r="H177">
        <f t="shared" si="44"/>
        <v>0</v>
      </c>
      <c r="I177">
        <f t="shared" si="44"/>
        <v>0</v>
      </c>
      <c r="J177" s="10"/>
      <c r="K177">
        <f t="shared" ref="K177:R186" si="45">K136*$C54</f>
        <v>0</v>
      </c>
      <c r="L177">
        <f t="shared" si="45"/>
        <v>249.60000000000002</v>
      </c>
      <c r="M177">
        <f t="shared" si="45"/>
        <v>0</v>
      </c>
      <c r="N177">
        <f t="shared" si="45"/>
        <v>0</v>
      </c>
      <c r="O177">
        <f t="shared" si="45"/>
        <v>0</v>
      </c>
      <c r="P177">
        <f t="shared" si="45"/>
        <v>0</v>
      </c>
      <c r="Q177">
        <f t="shared" si="45"/>
        <v>0</v>
      </c>
      <c r="R177">
        <f t="shared" si="45"/>
        <v>0</v>
      </c>
    </row>
    <row r="178" spans="1:18" x14ac:dyDescent="0.25">
      <c r="A178" t="s">
        <v>50</v>
      </c>
      <c r="B178">
        <f t="shared" si="44"/>
        <v>0</v>
      </c>
      <c r="C178">
        <f t="shared" si="44"/>
        <v>0</v>
      </c>
      <c r="D178">
        <f t="shared" si="44"/>
        <v>20</v>
      </c>
      <c r="E178">
        <f t="shared" si="44"/>
        <v>0</v>
      </c>
      <c r="F178">
        <f t="shared" si="44"/>
        <v>0</v>
      </c>
      <c r="G178">
        <f t="shared" si="44"/>
        <v>0</v>
      </c>
      <c r="H178">
        <f t="shared" si="44"/>
        <v>0</v>
      </c>
      <c r="I178">
        <f t="shared" si="44"/>
        <v>0</v>
      </c>
      <c r="J178" s="10"/>
      <c r="K178">
        <f t="shared" si="45"/>
        <v>0</v>
      </c>
      <c r="L178">
        <f t="shared" si="45"/>
        <v>0</v>
      </c>
      <c r="M178">
        <f t="shared" si="45"/>
        <v>35.200000000000003</v>
      </c>
      <c r="N178">
        <f t="shared" si="45"/>
        <v>0</v>
      </c>
      <c r="O178">
        <f t="shared" si="45"/>
        <v>0</v>
      </c>
      <c r="P178">
        <f t="shared" si="45"/>
        <v>0</v>
      </c>
      <c r="Q178">
        <f t="shared" si="45"/>
        <v>0</v>
      </c>
      <c r="R178">
        <f t="shared" si="45"/>
        <v>0</v>
      </c>
    </row>
    <row r="179" spans="1:18" x14ac:dyDescent="0.25">
      <c r="A179" t="s">
        <v>114</v>
      </c>
      <c r="B179">
        <f t="shared" si="44"/>
        <v>0</v>
      </c>
      <c r="C179">
        <f t="shared" si="44"/>
        <v>0</v>
      </c>
      <c r="D179">
        <f t="shared" si="44"/>
        <v>0</v>
      </c>
      <c r="E179">
        <f t="shared" si="44"/>
        <v>0</v>
      </c>
      <c r="F179">
        <f t="shared" si="44"/>
        <v>108</v>
      </c>
      <c r="G179">
        <f t="shared" si="44"/>
        <v>144</v>
      </c>
      <c r="H179">
        <f t="shared" si="44"/>
        <v>0</v>
      </c>
      <c r="I179">
        <f t="shared" si="44"/>
        <v>0</v>
      </c>
      <c r="J179" s="10"/>
      <c r="K179">
        <f t="shared" si="45"/>
        <v>0</v>
      </c>
      <c r="L179">
        <f t="shared" si="45"/>
        <v>0</v>
      </c>
      <c r="M179">
        <f t="shared" si="45"/>
        <v>0</v>
      </c>
      <c r="N179">
        <f t="shared" si="45"/>
        <v>0</v>
      </c>
      <c r="O179">
        <f t="shared" si="45"/>
        <v>84.96</v>
      </c>
      <c r="P179">
        <f t="shared" si="45"/>
        <v>30.96</v>
      </c>
      <c r="Q179">
        <f t="shared" si="45"/>
        <v>0</v>
      </c>
      <c r="R179">
        <f t="shared" si="45"/>
        <v>0</v>
      </c>
    </row>
    <row r="180" spans="1:18" x14ac:dyDescent="0.25">
      <c r="A180" t="s">
        <v>56</v>
      </c>
      <c r="B180">
        <f t="shared" si="44"/>
        <v>0</v>
      </c>
      <c r="C180">
        <f t="shared" si="44"/>
        <v>0</v>
      </c>
      <c r="D180">
        <f t="shared" si="44"/>
        <v>0</v>
      </c>
      <c r="E180">
        <f t="shared" si="44"/>
        <v>120</v>
      </c>
      <c r="F180">
        <f t="shared" si="44"/>
        <v>0</v>
      </c>
      <c r="G180">
        <f t="shared" si="44"/>
        <v>0</v>
      </c>
      <c r="H180">
        <f t="shared" si="44"/>
        <v>0</v>
      </c>
      <c r="I180">
        <f t="shared" si="44"/>
        <v>0</v>
      </c>
      <c r="J180" s="10"/>
      <c r="K180">
        <f t="shared" si="45"/>
        <v>0</v>
      </c>
      <c r="L180">
        <f t="shared" si="45"/>
        <v>0</v>
      </c>
      <c r="M180">
        <f t="shared" si="45"/>
        <v>0</v>
      </c>
      <c r="N180">
        <f t="shared" si="45"/>
        <v>337.91999999999996</v>
      </c>
      <c r="O180">
        <f t="shared" si="45"/>
        <v>0</v>
      </c>
      <c r="P180">
        <f t="shared" si="45"/>
        <v>0</v>
      </c>
      <c r="Q180">
        <f t="shared" si="45"/>
        <v>0</v>
      </c>
      <c r="R180">
        <f t="shared" si="45"/>
        <v>0</v>
      </c>
    </row>
    <row r="181" spans="1:18" x14ac:dyDescent="0.25">
      <c r="A181" t="s">
        <v>23</v>
      </c>
      <c r="B181">
        <f t="shared" si="44"/>
        <v>120</v>
      </c>
      <c r="C181">
        <f t="shared" si="44"/>
        <v>0</v>
      </c>
      <c r="D181">
        <f t="shared" si="44"/>
        <v>0</v>
      </c>
      <c r="E181">
        <f t="shared" si="44"/>
        <v>0</v>
      </c>
      <c r="F181">
        <f t="shared" si="44"/>
        <v>0</v>
      </c>
      <c r="G181">
        <f t="shared" si="44"/>
        <v>0</v>
      </c>
      <c r="H181">
        <f t="shared" si="44"/>
        <v>0</v>
      </c>
      <c r="I181">
        <f t="shared" si="44"/>
        <v>0</v>
      </c>
      <c r="J181" s="10"/>
      <c r="K181">
        <f t="shared" si="45"/>
        <v>116.16</v>
      </c>
      <c r="L181">
        <f t="shared" si="45"/>
        <v>0</v>
      </c>
      <c r="M181">
        <f t="shared" si="45"/>
        <v>0</v>
      </c>
      <c r="N181">
        <f t="shared" si="45"/>
        <v>0</v>
      </c>
      <c r="O181">
        <f t="shared" si="45"/>
        <v>0</v>
      </c>
      <c r="P181">
        <f t="shared" si="45"/>
        <v>0</v>
      </c>
      <c r="Q181">
        <f t="shared" si="45"/>
        <v>0</v>
      </c>
      <c r="R181">
        <f t="shared" si="45"/>
        <v>0</v>
      </c>
    </row>
    <row r="182" spans="1:18" x14ac:dyDescent="0.25">
      <c r="A182" t="s">
        <v>262</v>
      </c>
      <c r="B182">
        <f t="shared" si="44"/>
        <v>0</v>
      </c>
      <c r="C182">
        <f t="shared" si="44"/>
        <v>0</v>
      </c>
      <c r="D182">
        <f t="shared" si="44"/>
        <v>0</v>
      </c>
      <c r="E182">
        <f t="shared" si="44"/>
        <v>0</v>
      </c>
      <c r="F182">
        <f t="shared" si="44"/>
        <v>0</v>
      </c>
      <c r="G182">
        <f t="shared" si="44"/>
        <v>0</v>
      </c>
      <c r="H182">
        <f t="shared" si="44"/>
        <v>0</v>
      </c>
      <c r="I182">
        <f t="shared" si="44"/>
        <v>288</v>
      </c>
      <c r="J182" s="10"/>
      <c r="K182">
        <f t="shared" si="45"/>
        <v>0</v>
      </c>
      <c r="L182">
        <f t="shared" si="45"/>
        <v>0</v>
      </c>
      <c r="M182">
        <f t="shared" si="45"/>
        <v>0</v>
      </c>
      <c r="N182">
        <f t="shared" si="45"/>
        <v>0</v>
      </c>
      <c r="O182">
        <f t="shared" si="45"/>
        <v>0</v>
      </c>
      <c r="P182">
        <f t="shared" si="45"/>
        <v>0</v>
      </c>
      <c r="Q182">
        <f t="shared" si="45"/>
        <v>0</v>
      </c>
      <c r="R182">
        <f t="shared" si="45"/>
        <v>267.52</v>
      </c>
    </row>
    <row r="183" spans="1:18" x14ac:dyDescent="0.25">
      <c r="A183" t="s">
        <v>26</v>
      </c>
      <c r="B183">
        <f t="shared" si="44"/>
        <v>25.6</v>
      </c>
      <c r="C183">
        <f t="shared" si="44"/>
        <v>0</v>
      </c>
      <c r="D183">
        <f t="shared" si="44"/>
        <v>4.8</v>
      </c>
      <c r="E183">
        <f t="shared" si="44"/>
        <v>0</v>
      </c>
      <c r="F183">
        <f t="shared" si="44"/>
        <v>49.6</v>
      </c>
      <c r="G183">
        <f t="shared" si="44"/>
        <v>25.6</v>
      </c>
      <c r="H183">
        <f t="shared" si="44"/>
        <v>0</v>
      </c>
      <c r="I183">
        <f t="shared" si="44"/>
        <v>0</v>
      </c>
      <c r="J183" s="10"/>
      <c r="K183">
        <f t="shared" si="45"/>
        <v>29.6</v>
      </c>
      <c r="L183">
        <f t="shared" si="45"/>
        <v>0</v>
      </c>
      <c r="M183">
        <f t="shared" si="45"/>
        <v>7.1999999999999993</v>
      </c>
      <c r="N183">
        <f t="shared" si="45"/>
        <v>0</v>
      </c>
      <c r="O183">
        <f t="shared" si="45"/>
        <v>86.4</v>
      </c>
      <c r="P183">
        <f t="shared" si="45"/>
        <v>8.8000000000000007</v>
      </c>
      <c r="Q183">
        <f t="shared" si="45"/>
        <v>0</v>
      </c>
      <c r="R183">
        <f t="shared" si="45"/>
        <v>0</v>
      </c>
    </row>
    <row r="184" spans="1:18" x14ac:dyDescent="0.25">
      <c r="A184" t="s">
        <v>152</v>
      </c>
      <c r="B184">
        <f t="shared" si="44"/>
        <v>0</v>
      </c>
      <c r="C184">
        <f t="shared" si="44"/>
        <v>0</v>
      </c>
      <c r="D184">
        <f t="shared" si="44"/>
        <v>0</v>
      </c>
      <c r="E184">
        <f t="shared" si="44"/>
        <v>0</v>
      </c>
      <c r="F184">
        <f t="shared" si="44"/>
        <v>0</v>
      </c>
      <c r="G184">
        <f t="shared" si="44"/>
        <v>0</v>
      </c>
      <c r="H184">
        <f t="shared" si="44"/>
        <v>237.60000000000002</v>
      </c>
      <c r="I184">
        <f t="shared" si="44"/>
        <v>0</v>
      </c>
      <c r="J184" s="10"/>
      <c r="K184">
        <f t="shared" si="45"/>
        <v>0</v>
      </c>
      <c r="L184">
        <f t="shared" si="45"/>
        <v>0</v>
      </c>
      <c r="M184">
        <f t="shared" si="45"/>
        <v>0</v>
      </c>
      <c r="N184">
        <f t="shared" si="45"/>
        <v>0</v>
      </c>
      <c r="O184">
        <f t="shared" si="45"/>
        <v>0</v>
      </c>
      <c r="P184">
        <f t="shared" si="45"/>
        <v>0</v>
      </c>
      <c r="Q184">
        <f t="shared" si="45"/>
        <v>42.419999999999995</v>
      </c>
      <c r="R184">
        <f t="shared" si="45"/>
        <v>0</v>
      </c>
    </row>
    <row r="185" spans="1:18" x14ac:dyDescent="0.25">
      <c r="A185" t="s">
        <v>79</v>
      </c>
      <c r="B185">
        <f t="shared" si="44"/>
        <v>0</v>
      </c>
      <c r="C185">
        <f t="shared" si="44"/>
        <v>450</v>
      </c>
      <c r="D185">
        <f t="shared" si="44"/>
        <v>0</v>
      </c>
      <c r="E185">
        <f t="shared" si="44"/>
        <v>0</v>
      </c>
      <c r="F185">
        <f t="shared" si="44"/>
        <v>0</v>
      </c>
      <c r="G185">
        <f t="shared" si="44"/>
        <v>0</v>
      </c>
      <c r="H185">
        <f t="shared" si="44"/>
        <v>0</v>
      </c>
      <c r="I185">
        <f t="shared" si="44"/>
        <v>0</v>
      </c>
      <c r="J185" s="10"/>
      <c r="K185">
        <f t="shared" si="45"/>
        <v>0</v>
      </c>
      <c r="L185">
        <f t="shared" si="45"/>
        <v>439.20000000000005</v>
      </c>
      <c r="M185">
        <f t="shared" si="45"/>
        <v>0</v>
      </c>
      <c r="N185">
        <f t="shared" si="45"/>
        <v>0</v>
      </c>
      <c r="O185">
        <f t="shared" si="45"/>
        <v>0</v>
      </c>
      <c r="P185">
        <f t="shared" si="45"/>
        <v>0</v>
      </c>
      <c r="Q185">
        <f t="shared" si="45"/>
        <v>0</v>
      </c>
      <c r="R185">
        <f t="shared" si="45"/>
        <v>0</v>
      </c>
    </row>
    <row r="186" spans="1:18" x14ac:dyDescent="0.25">
      <c r="A186" t="s">
        <v>51</v>
      </c>
      <c r="B186">
        <f t="shared" si="44"/>
        <v>0</v>
      </c>
      <c r="C186">
        <f t="shared" si="44"/>
        <v>0</v>
      </c>
      <c r="D186">
        <f t="shared" si="44"/>
        <v>60</v>
      </c>
      <c r="E186">
        <f t="shared" si="44"/>
        <v>0</v>
      </c>
      <c r="F186">
        <f t="shared" si="44"/>
        <v>0</v>
      </c>
      <c r="G186">
        <f t="shared" si="44"/>
        <v>0</v>
      </c>
      <c r="H186">
        <f t="shared" si="44"/>
        <v>0</v>
      </c>
      <c r="I186">
        <f t="shared" si="44"/>
        <v>0</v>
      </c>
      <c r="J186" s="10"/>
      <c r="K186">
        <f t="shared" si="45"/>
        <v>0</v>
      </c>
      <c r="L186">
        <f t="shared" si="45"/>
        <v>0</v>
      </c>
      <c r="M186">
        <f t="shared" si="45"/>
        <v>85.600000000000009</v>
      </c>
      <c r="N186">
        <f t="shared" si="45"/>
        <v>0</v>
      </c>
      <c r="O186">
        <f t="shared" si="45"/>
        <v>0</v>
      </c>
      <c r="P186">
        <f t="shared" si="45"/>
        <v>0</v>
      </c>
      <c r="Q186">
        <f t="shared" si="45"/>
        <v>0</v>
      </c>
      <c r="R186">
        <f t="shared" si="45"/>
        <v>0</v>
      </c>
    </row>
    <row r="187" spans="1:18" x14ac:dyDescent="0.25">
      <c r="A187" t="s">
        <v>61</v>
      </c>
      <c r="B187">
        <f t="shared" ref="B187:I196" si="46">B146*$B64</f>
        <v>0</v>
      </c>
      <c r="C187">
        <f t="shared" si="46"/>
        <v>0</v>
      </c>
      <c r="D187">
        <f t="shared" si="46"/>
        <v>0</v>
      </c>
      <c r="E187">
        <f t="shared" si="46"/>
        <v>0</v>
      </c>
      <c r="F187">
        <f t="shared" si="46"/>
        <v>160.80000000000001</v>
      </c>
      <c r="G187">
        <f t="shared" si="46"/>
        <v>240</v>
      </c>
      <c r="H187">
        <f t="shared" si="46"/>
        <v>0</v>
      </c>
      <c r="I187">
        <f t="shared" si="46"/>
        <v>0</v>
      </c>
      <c r="J187" s="10"/>
      <c r="K187">
        <f t="shared" ref="K187:R196" si="47">K146*$C64</f>
        <v>0</v>
      </c>
      <c r="L187">
        <f t="shared" si="47"/>
        <v>0</v>
      </c>
      <c r="M187">
        <f t="shared" si="47"/>
        <v>0</v>
      </c>
      <c r="N187">
        <f t="shared" si="47"/>
        <v>0</v>
      </c>
      <c r="O187">
        <f t="shared" si="47"/>
        <v>278.2</v>
      </c>
      <c r="P187">
        <f t="shared" si="47"/>
        <v>83.2</v>
      </c>
      <c r="Q187">
        <f t="shared" si="47"/>
        <v>0</v>
      </c>
      <c r="R187">
        <f t="shared" si="47"/>
        <v>0</v>
      </c>
    </row>
    <row r="188" spans="1:18" x14ac:dyDescent="0.25">
      <c r="A188" t="s">
        <v>57</v>
      </c>
      <c r="B188">
        <f t="shared" si="46"/>
        <v>0</v>
      </c>
      <c r="C188">
        <f t="shared" si="46"/>
        <v>0</v>
      </c>
      <c r="D188">
        <f t="shared" si="46"/>
        <v>0</v>
      </c>
      <c r="E188">
        <f t="shared" si="46"/>
        <v>162</v>
      </c>
      <c r="F188">
        <f t="shared" si="46"/>
        <v>0</v>
      </c>
      <c r="G188">
        <f t="shared" si="46"/>
        <v>0</v>
      </c>
      <c r="H188">
        <f t="shared" si="46"/>
        <v>0</v>
      </c>
      <c r="I188">
        <f t="shared" si="46"/>
        <v>0</v>
      </c>
      <c r="J188" s="10"/>
      <c r="K188">
        <f t="shared" si="47"/>
        <v>0</v>
      </c>
      <c r="L188">
        <f t="shared" si="47"/>
        <v>0</v>
      </c>
      <c r="M188">
        <f t="shared" si="47"/>
        <v>0</v>
      </c>
      <c r="N188">
        <f t="shared" si="47"/>
        <v>198.88</v>
      </c>
      <c r="O188">
        <f t="shared" si="47"/>
        <v>0</v>
      </c>
      <c r="P188">
        <f t="shared" si="47"/>
        <v>0</v>
      </c>
      <c r="Q188">
        <f t="shared" si="47"/>
        <v>0</v>
      </c>
      <c r="R188">
        <f t="shared" si="47"/>
        <v>0</v>
      </c>
    </row>
    <row r="189" spans="1:18" x14ac:dyDescent="0.25">
      <c r="A189" t="s">
        <v>24</v>
      </c>
      <c r="B189">
        <f t="shared" si="46"/>
        <v>162</v>
      </c>
      <c r="C189">
        <f t="shared" si="46"/>
        <v>0</v>
      </c>
      <c r="D189">
        <f t="shared" si="46"/>
        <v>0</v>
      </c>
      <c r="E189">
        <f t="shared" si="46"/>
        <v>0</v>
      </c>
      <c r="F189">
        <f t="shared" si="46"/>
        <v>0</v>
      </c>
      <c r="G189">
        <f t="shared" si="46"/>
        <v>0</v>
      </c>
      <c r="H189">
        <f t="shared" si="46"/>
        <v>0</v>
      </c>
      <c r="I189">
        <f t="shared" si="46"/>
        <v>0</v>
      </c>
      <c r="J189" s="10"/>
      <c r="K189">
        <f t="shared" si="47"/>
        <v>184.79999999999998</v>
      </c>
      <c r="L189">
        <f t="shared" si="47"/>
        <v>0</v>
      </c>
      <c r="M189">
        <f t="shared" si="47"/>
        <v>0</v>
      </c>
      <c r="N189">
        <f t="shared" si="47"/>
        <v>0</v>
      </c>
      <c r="O189">
        <f t="shared" si="47"/>
        <v>0</v>
      </c>
      <c r="P189">
        <f t="shared" si="47"/>
        <v>0</v>
      </c>
      <c r="Q189">
        <f t="shared" si="47"/>
        <v>0</v>
      </c>
      <c r="R189">
        <f t="shared" si="47"/>
        <v>0</v>
      </c>
    </row>
    <row r="190" spans="1:18" x14ac:dyDescent="0.25">
      <c r="A190" t="s">
        <v>263</v>
      </c>
      <c r="B190">
        <f t="shared" si="46"/>
        <v>0</v>
      </c>
      <c r="C190">
        <f t="shared" si="46"/>
        <v>0</v>
      </c>
      <c r="D190">
        <f t="shared" si="46"/>
        <v>0</v>
      </c>
      <c r="E190">
        <f t="shared" si="46"/>
        <v>0</v>
      </c>
      <c r="F190">
        <f t="shared" si="46"/>
        <v>0</v>
      </c>
      <c r="G190">
        <f t="shared" si="46"/>
        <v>0</v>
      </c>
      <c r="H190">
        <f t="shared" si="46"/>
        <v>0</v>
      </c>
      <c r="I190">
        <f t="shared" si="46"/>
        <v>324</v>
      </c>
      <c r="J190" s="10"/>
      <c r="K190">
        <f t="shared" si="47"/>
        <v>0</v>
      </c>
      <c r="L190">
        <f t="shared" si="47"/>
        <v>0</v>
      </c>
      <c r="M190">
        <f t="shared" si="47"/>
        <v>0</v>
      </c>
      <c r="N190">
        <f t="shared" si="47"/>
        <v>0</v>
      </c>
      <c r="O190">
        <f t="shared" si="47"/>
        <v>0</v>
      </c>
      <c r="P190">
        <f t="shared" si="47"/>
        <v>0</v>
      </c>
      <c r="Q190">
        <f t="shared" si="47"/>
        <v>0</v>
      </c>
      <c r="R190">
        <f t="shared" si="47"/>
        <v>217.8</v>
      </c>
    </row>
    <row r="191" spans="1:18" x14ac:dyDescent="0.25">
      <c r="A191" t="s">
        <v>27</v>
      </c>
      <c r="B191">
        <f t="shared" si="46"/>
        <v>15.36</v>
      </c>
      <c r="C191">
        <f t="shared" si="46"/>
        <v>0</v>
      </c>
      <c r="D191">
        <f t="shared" si="46"/>
        <v>2.88</v>
      </c>
      <c r="E191">
        <f t="shared" si="46"/>
        <v>0</v>
      </c>
      <c r="F191">
        <f t="shared" si="46"/>
        <v>29.76</v>
      </c>
      <c r="G191">
        <f t="shared" si="46"/>
        <v>15.36</v>
      </c>
      <c r="H191">
        <f t="shared" si="46"/>
        <v>0</v>
      </c>
      <c r="I191">
        <f t="shared" si="46"/>
        <v>0</v>
      </c>
      <c r="J191" s="10"/>
      <c r="K191">
        <f t="shared" si="47"/>
        <v>26.599999999999998</v>
      </c>
      <c r="L191">
        <f t="shared" si="47"/>
        <v>0</v>
      </c>
      <c r="M191">
        <f t="shared" si="47"/>
        <v>11.200000000000001</v>
      </c>
      <c r="N191">
        <f t="shared" si="47"/>
        <v>0</v>
      </c>
      <c r="O191">
        <f t="shared" si="47"/>
        <v>76.3</v>
      </c>
      <c r="P191">
        <f t="shared" si="47"/>
        <v>12.6</v>
      </c>
      <c r="Q191">
        <f t="shared" si="47"/>
        <v>0</v>
      </c>
      <c r="R191">
        <f t="shared" si="47"/>
        <v>0</v>
      </c>
    </row>
    <row r="192" spans="1:18" x14ac:dyDescent="0.25">
      <c r="A192" t="s">
        <v>153</v>
      </c>
      <c r="B192">
        <f t="shared" si="46"/>
        <v>0</v>
      </c>
      <c r="C192">
        <f t="shared" si="46"/>
        <v>0</v>
      </c>
      <c r="D192">
        <f t="shared" si="46"/>
        <v>0</v>
      </c>
      <c r="E192">
        <f t="shared" si="46"/>
        <v>0</v>
      </c>
      <c r="F192">
        <f t="shared" si="46"/>
        <v>0</v>
      </c>
      <c r="G192">
        <f t="shared" si="46"/>
        <v>0</v>
      </c>
      <c r="H192">
        <f t="shared" si="46"/>
        <v>126.72</v>
      </c>
      <c r="I192">
        <f t="shared" si="46"/>
        <v>0</v>
      </c>
      <c r="J192" s="10"/>
      <c r="K192">
        <f t="shared" si="47"/>
        <v>0</v>
      </c>
      <c r="L192">
        <f t="shared" si="47"/>
        <v>0</v>
      </c>
      <c r="M192">
        <f t="shared" si="47"/>
        <v>0</v>
      </c>
      <c r="N192">
        <f t="shared" si="47"/>
        <v>0</v>
      </c>
      <c r="O192">
        <f t="shared" si="47"/>
        <v>0</v>
      </c>
      <c r="P192">
        <f t="shared" si="47"/>
        <v>0</v>
      </c>
      <c r="Q192">
        <f t="shared" si="47"/>
        <v>50.88</v>
      </c>
      <c r="R192">
        <f t="shared" si="47"/>
        <v>0</v>
      </c>
    </row>
    <row r="193" spans="1:19" x14ac:dyDescent="0.25">
      <c r="A193" t="s">
        <v>52</v>
      </c>
      <c r="B193">
        <f t="shared" si="46"/>
        <v>0</v>
      </c>
      <c r="C193">
        <f t="shared" si="46"/>
        <v>0</v>
      </c>
      <c r="D193">
        <f t="shared" si="46"/>
        <v>30</v>
      </c>
      <c r="E193">
        <f t="shared" si="46"/>
        <v>0</v>
      </c>
      <c r="F193">
        <f t="shared" si="46"/>
        <v>0</v>
      </c>
      <c r="G193">
        <f t="shared" si="46"/>
        <v>0</v>
      </c>
      <c r="H193">
        <f t="shared" si="46"/>
        <v>0</v>
      </c>
      <c r="I193">
        <f t="shared" si="46"/>
        <v>0</v>
      </c>
      <c r="J193" s="10"/>
      <c r="K193">
        <f t="shared" si="47"/>
        <v>0</v>
      </c>
      <c r="L193">
        <f t="shared" si="47"/>
        <v>0</v>
      </c>
      <c r="M193">
        <f t="shared" si="47"/>
        <v>41.6</v>
      </c>
      <c r="N193">
        <f t="shared" si="47"/>
        <v>0</v>
      </c>
      <c r="O193">
        <f t="shared" si="47"/>
        <v>0</v>
      </c>
      <c r="P193">
        <f t="shared" si="47"/>
        <v>0</v>
      </c>
      <c r="Q193">
        <f t="shared" si="47"/>
        <v>0</v>
      </c>
      <c r="R193">
        <f t="shared" si="47"/>
        <v>0</v>
      </c>
    </row>
    <row r="194" spans="1:19" x14ac:dyDescent="0.25">
      <c r="A194" t="s">
        <v>62</v>
      </c>
      <c r="B194">
        <f t="shared" si="46"/>
        <v>0</v>
      </c>
      <c r="C194">
        <f t="shared" si="46"/>
        <v>0</v>
      </c>
      <c r="D194">
        <f t="shared" si="46"/>
        <v>0</v>
      </c>
      <c r="E194">
        <f t="shared" si="46"/>
        <v>0</v>
      </c>
      <c r="F194">
        <f t="shared" si="46"/>
        <v>120.6</v>
      </c>
      <c r="G194">
        <f t="shared" si="46"/>
        <v>180</v>
      </c>
      <c r="H194">
        <f t="shared" si="46"/>
        <v>0</v>
      </c>
      <c r="I194">
        <f t="shared" si="46"/>
        <v>0</v>
      </c>
      <c r="J194" s="10"/>
      <c r="K194">
        <f t="shared" si="47"/>
        <v>0</v>
      </c>
      <c r="L194">
        <f t="shared" si="47"/>
        <v>0</v>
      </c>
      <c r="M194">
        <f t="shared" si="47"/>
        <v>0</v>
      </c>
      <c r="N194">
        <f t="shared" si="47"/>
        <v>0</v>
      </c>
      <c r="O194">
        <f t="shared" si="47"/>
        <v>120</v>
      </c>
      <c r="P194">
        <f t="shared" si="47"/>
        <v>52.800000000000004</v>
      </c>
      <c r="Q194">
        <f t="shared" si="47"/>
        <v>0</v>
      </c>
      <c r="R194">
        <f t="shared" si="47"/>
        <v>0</v>
      </c>
    </row>
    <row r="195" spans="1:19" x14ac:dyDescent="0.25">
      <c r="A195" t="s">
        <v>58</v>
      </c>
      <c r="B195">
        <f t="shared" si="46"/>
        <v>0</v>
      </c>
      <c r="C195">
        <f t="shared" si="46"/>
        <v>0</v>
      </c>
      <c r="D195">
        <f t="shared" si="46"/>
        <v>0</v>
      </c>
      <c r="E195">
        <f t="shared" si="46"/>
        <v>192</v>
      </c>
      <c r="F195">
        <f t="shared" si="46"/>
        <v>0</v>
      </c>
      <c r="G195">
        <f t="shared" si="46"/>
        <v>0</v>
      </c>
      <c r="H195">
        <f t="shared" si="46"/>
        <v>0</v>
      </c>
      <c r="I195">
        <f t="shared" si="46"/>
        <v>0</v>
      </c>
      <c r="J195" s="10"/>
      <c r="K195">
        <f t="shared" si="47"/>
        <v>0</v>
      </c>
      <c r="L195">
        <f t="shared" si="47"/>
        <v>0</v>
      </c>
      <c r="M195">
        <f t="shared" si="47"/>
        <v>0</v>
      </c>
      <c r="N195">
        <f t="shared" si="47"/>
        <v>169.6</v>
      </c>
      <c r="O195">
        <f t="shared" si="47"/>
        <v>0</v>
      </c>
      <c r="P195">
        <f t="shared" si="47"/>
        <v>0</v>
      </c>
      <c r="Q195">
        <f t="shared" si="47"/>
        <v>0</v>
      </c>
      <c r="R195">
        <f t="shared" si="47"/>
        <v>0</v>
      </c>
    </row>
    <row r="196" spans="1:19" x14ac:dyDescent="0.25">
      <c r="A196" t="s">
        <v>25</v>
      </c>
      <c r="B196">
        <f t="shared" si="46"/>
        <v>96</v>
      </c>
      <c r="C196">
        <f t="shared" si="46"/>
        <v>0</v>
      </c>
      <c r="D196">
        <f t="shared" si="46"/>
        <v>0</v>
      </c>
      <c r="E196">
        <f t="shared" si="46"/>
        <v>0</v>
      </c>
      <c r="F196">
        <f t="shared" si="46"/>
        <v>0</v>
      </c>
      <c r="G196">
        <f t="shared" si="46"/>
        <v>0</v>
      </c>
      <c r="H196">
        <f t="shared" si="46"/>
        <v>0</v>
      </c>
      <c r="I196">
        <f t="shared" si="46"/>
        <v>0</v>
      </c>
      <c r="J196" s="10"/>
      <c r="K196">
        <f t="shared" si="47"/>
        <v>164.8</v>
      </c>
      <c r="L196">
        <f t="shared" si="47"/>
        <v>0</v>
      </c>
      <c r="M196">
        <f t="shared" si="47"/>
        <v>0</v>
      </c>
      <c r="N196">
        <f t="shared" si="47"/>
        <v>0</v>
      </c>
      <c r="O196">
        <f t="shared" si="47"/>
        <v>0</v>
      </c>
      <c r="P196">
        <f t="shared" si="47"/>
        <v>0</v>
      </c>
      <c r="Q196">
        <f t="shared" si="47"/>
        <v>0</v>
      </c>
      <c r="R196">
        <f t="shared" si="47"/>
        <v>0</v>
      </c>
    </row>
    <row r="197" spans="1:19" x14ac:dyDescent="0.25">
      <c r="A197" t="s">
        <v>264</v>
      </c>
      <c r="B197">
        <f t="shared" ref="B197:I204" si="48">B156*$B74</f>
        <v>0</v>
      </c>
      <c r="C197">
        <f t="shared" si="48"/>
        <v>0</v>
      </c>
      <c r="D197">
        <f t="shared" si="48"/>
        <v>0</v>
      </c>
      <c r="E197">
        <f t="shared" si="48"/>
        <v>0</v>
      </c>
      <c r="F197">
        <f t="shared" si="48"/>
        <v>0</v>
      </c>
      <c r="G197">
        <f t="shared" si="48"/>
        <v>0</v>
      </c>
      <c r="H197">
        <f t="shared" si="48"/>
        <v>0</v>
      </c>
      <c r="I197">
        <f t="shared" si="48"/>
        <v>336</v>
      </c>
      <c r="J197" s="10"/>
      <c r="K197">
        <f t="shared" ref="K197:R204" si="49">K156*$C74</f>
        <v>0</v>
      </c>
      <c r="L197">
        <f t="shared" si="49"/>
        <v>0</v>
      </c>
      <c r="M197">
        <f t="shared" si="49"/>
        <v>0</v>
      </c>
      <c r="N197">
        <f t="shared" si="49"/>
        <v>0</v>
      </c>
      <c r="O197">
        <f t="shared" si="49"/>
        <v>0</v>
      </c>
      <c r="P197">
        <f t="shared" si="49"/>
        <v>0</v>
      </c>
      <c r="Q197">
        <f t="shared" si="49"/>
        <v>0</v>
      </c>
      <c r="R197">
        <f t="shared" si="49"/>
        <v>178.5</v>
      </c>
    </row>
    <row r="198" spans="1:19" x14ac:dyDescent="0.25">
      <c r="A198" t="s">
        <v>31</v>
      </c>
      <c r="B198">
        <f t="shared" si="48"/>
        <v>26.880000000000003</v>
      </c>
      <c r="C198">
        <f t="shared" si="48"/>
        <v>23.52</v>
      </c>
      <c r="D198">
        <f t="shared" si="48"/>
        <v>5.04</v>
      </c>
      <c r="E198">
        <f t="shared" si="48"/>
        <v>23.52</v>
      </c>
      <c r="F198">
        <f t="shared" si="48"/>
        <v>52.08</v>
      </c>
      <c r="G198">
        <f t="shared" si="48"/>
        <v>26.880000000000003</v>
      </c>
      <c r="H198">
        <f t="shared" si="48"/>
        <v>33.599999999999994</v>
      </c>
      <c r="I198">
        <f t="shared" si="48"/>
        <v>0</v>
      </c>
      <c r="J198" s="10"/>
      <c r="K198">
        <f t="shared" si="49"/>
        <v>15.12</v>
      </c>
      <c r="L198">
        <f t="shared" si="49"/>
        <v>35.28</v>
      </c>
      <c r="M198">
        <f t="shared" si="49"/>
        <v>6.84</v>
      </c>
      <c r="N198">
        <f t="shared" si="49"/>
        <v>6.12</v>
      </c>
      <c r="O198">
        <f t="shared" si="49"/>
        <v>50.04</v>
      </c>
      <c r="P198">
        <f t="shared" si="49"/>
        <v>7.92</v>
      </c>
      <c r="Q198">
        <f t="shared" si="49"/>
        <v>17.64</v>
      </c>
      <c r="R198">
        <f t="shared" si="49"/>
        <v>0</v>
      </c>
    </row>
    <row r="199" spans="1:19" x14ac:dyDescent="0.25">
      <c r="A199" t="s">
        <v>29</v>
      </c>
      <c r="B199">
        <f t="shared" si="48"/>
        <v>62.720000000000006</v>
      </c>
      <c r="C199">
        <f t="shared" si="48"/>
        <v>54.879999999999995</v>
      </c>
      <c r="D199">
        <f t="shared" si="48"/>
        <v>11.76</v>
      </c>
      <c r="E199">
        <f t="shared" si="48"/>
        <v>54.879999999999995</v>
      </c>
      <c r="F199">
        <f t="shared" si="48"/>
        <v>121.52</v>
      </c>
      <c r="G199">
        <f t="shared" si="48"/>
        <v>62.720000000000006</v>
      </c>
      <c r="H199">
        <f t="shared" si="48"/>
        <v>78.399999999999991</v>
      </c>
      <c r="I199">
        <f t="shared" si="48"/>
        <v>0</v>
      </c>
      <c r="J199" s="10"/>
      <c r="K199">
        <f t="shared" si="49"/>
        <v>224.96</v>
      </c>
      <c r="L199">
        <f t="shared" si="49"/>
        <v>577.6</v>
      </c>
      <c r="M199">
        <f t="shared" si="49"/>
        <v>18.239999999999998</v>
      </c>
      <c r="N199">
        <f>N158*$C76</f>
        <v>127.67999999999999</v>
      </c>
      <c r="O199">
        <f t="shared" si="49"/>
        <v>127.67999999999999</v>
      </c>
      <c r="P199">
        <f t="shared" si="49"/>
        <v>18.239999999999998</v>
      </c>
      <c r="Q199">
        <f t="shared" si="49"/>
        <v>72.959999999999994</v>
      </c>
      <c r="R199">
        <f t="shared" si="49"/>
        <v>0</v>
      </c>
    </row>
    <row r="200" spans="1:19" x14ac:dyDescent="0.25">
      <c r="A200" t="s">
        <v>154</v>
      </c>
      <c r="B200">
        <f t="shared" si="48"/>
        <v>0</v>
      </c>
      <c r="C200">
        <f t="shared" si="48"/>
        <v>5.76</v>
      </c>
      <c r="D200">
        <f t="shared" si="48"/>
        <v>0</v>
      </c>
      <c r="E200">
        <f t="shared" si="48"/>
        <v>0</v>
      </c>
      <c r="F200">
        <f t="shared" si="48"/>
        <v>0</v>
      </c>
      <c r="G200">
        <f t="shared" si="48"/>
        <v>0</v>
      </c>
      <c r="H200">
        <f t="shared" si="48"/>
        <v>8.32</v>
      </c>
      <c r="I200">
        <f t="shared" si="48"/>
        <v>0</v>
      </c>
      <c r="J200" s="10"/>
      <c r="K200">
        <f t="shared" si="49"/>
        <v>0</v>
      </c>
      <c r="L200">
        <f t="shared" si="49"/>
        <v>33.840000000000003</v>
      </c>
      <c r="M200">
        <f t="shared" si="49"/>
        <v>0</v>
      </c>
      <c r="N200">
        <f>N159*$C77</f>
        <v>0</v>
      </c>
      <c r="O200">
        <f t="shared" si="49"/>
        <v>0</v>
      </c>
      <c r="P200">
        <f t="shared" si="49"/>
        <v>0</v>
      </c>
      <c r="Q200">
        <f t="shared" si="49"/>
        <v>7.2</v>
      </c>
      <c r="R200">
        <f t="shared" si="49"/>
        <v>0</v>
      </c>
    </row>
    <row r="201" spans="1:19" x14ac:dyDescent="0.25">
      <c r="A201" t="s">
        <v>221</v>
      </c>
      <c r="B201">
        <f t="shared" si="48"/>
        <v>0</v>
      </c>
      <c r="C201">
        <f t="shared" si="48"/>
        <v>0</v>
      </c>
      <c r="D201">
        <f t="shared" si="48"/>
        <v>0</v>
      </c>
      <c r="E201">
        <f t="shared" si="48"/>
        <v>0</v>
      </c>
      <c r="F201">
        <f t="shared" si="48"/>
        <v>0</v>
      </c>
      <c r="G201">
        <f t="shared" si="48"/>
        <v>0</v>
      </c>
      <c r="H201">
        <f t="shared" si="48"/>
        <v>57.6</v>
      </c>
      <c r="I201">
        <f t="shared" si="48"/>
        <v>23.04</v>
      </c>
      <c r="J201" s="10"/>
      <c r="K201">
        <f t="shared" si="49"/>
        <v>0</v>
      </c>
      <c r="L201">
        <f t="shared" si="49"/>
        <v>0</v>
      </c>
      <c r="M201">
        <f t="shared" si="49"/>
        <v>0</v>
      </c>
      <c r="N201">
        <f t="shared" si="49"/>
        <v>0</v>
      </c>
      <c r="O201">
        <f t="shared" si="49"/>
        <v>0</v>
      </c>
      <c r="P201">
        <f t="shared" si="49"/>
        <v>0</v>
      </c>
      <c r="Q201">
        <f t="shared" si="49"/>
        <v>46.08</v>
      </c>
      <c r="R201">
        <f t="shared" si="49"/>
        <v>23.04</v>
      </c>
    </row>
    <row r="202" spans="1:19" x14ac:dyDescent="0.25">
      <c r="A202" t="s">
        <v>265</v>
      </c>
      <c r="B202">
        <f t="shared" si="48"/>
        <v>0</v>
      </c>
      <c r="C202">
        <f t="shared" si="48"/>
        <v>0</v>
      </c>
      <c r="D202">
        <f t="shared" si="48"/>
        <v>0</v>
      </c>
      <c r="E202">
        <f t="shared" si="48"/>
        <v>0</v>
      </c>
      <c r="F202">
        <f t="shared" si="48"/>
        <v>0</v>
      </c>
      <c r="G202">
        <f t="shared" si="48"/>
        <v>0</v>
      </c>
      <c r="H202">
        <f t="shared" si="48"/>
        <v>0</v>
      </c>
      <c r="I202">
        <f t="shared" si="48"/>
        <v>34.880000000000003</v>
      </c>
      <c r="J202" s="10"/>
      <c r="K202">
        <f t="shared" si="49"/>
        <v>0</v>
      </c>
      <c r="L202">
        <f t="shared" si="49"/>
        <v>0</v>
      </c>
      <c r="M202">
        <f t="shared" si="49"/>
        <v>0</v>
      </c>
      <c r="N202">
        <f t="shared" si="49"/>
        <v>0</v>
      </c>
      <c r="O202">
        <f t="shared" si="49"/>
        <v>0</v>
      </c>
      <c r="P202">
        <f t="shared" si="49"/>
        <v>0</v>
      </c>
      <c r="Q202">
        <f t="shared" si="49"/>
        <v>0</v>
      </c>
      <c r="R202">
        <f t="shared" si="49"/>
        <v>36.72</v>
      </c>
    </row>
    <row r="203" spans="1:19" x14ac:dyDescent="0.25">
      <c r="A203" t="s">
        <v>149</v>
      </c>
      <c r="B203">
        <f t="shared" si="48"/>
        <v>73.5</v>
      </c>
      <c r="C203">
        <f t="shared" si="48"/>
        <v>165.9</v>
      </c>
      <c r="D203">
        <f t="shared" si="48"/>
        <v>12.6</v>
      </c>
      <c r="E203">
        <f t="shared" si="48"/>
        <v>63</v>
      </c>
      <c r="F203">
        <f t="shared" si="48"/>
        <v>90.3</v>
      </c>
      <c r="G203">
        <f t="shared" si="48"/>
        <v>31.5</v>
      </c>
      <c r="H203">
        <f t="shared" si="48"/>
        <v>35.699999999999996</v>
      </c>
      <c r="I203">
        <f t="shared" si="48"/>
        <v>14.7</v>
      </c>
      <c r="J203" s="10"/>
      <c r="K203">
        <f t="shared" si="49"/>
        <v>73.8</v>
      </c>
      <c r="L203">
        <f t="shared" si="49"/>
        <v>165.6</v>
      </c>
      <c r="M203">
        <f t="shared" si="49"/>
        <v>12.6</v>
      </c>
      <c r="N203">
        <f t="shared" si="49"/>
        <v>63</v>
      </c>
      <c r="O203">
        <f t="shared" si="49"/>
        <v>90</v>
      </c>
      <c r="P203">
        <f t="shared" si="49"/>
        <v>32.400000000000006</v>
      </c>
      <c r="Q203">
        <f t="shared" si="49"/>
        <v>43.199999999999996</v>
      </c>
      <c r="R203">
        <f t="shared" si="49"/>
        <v>14.399999999999999</v>
      </c>
    </row>
    <row r="204" spans="1:19" x14ac:dyDescent="0.25">
      <c r="A204" t="s">
        <v>30</v>
      </c>
      <c r="B204">
        <f t="shared" si="48"/>
        <v>147</v>
      </c>
      <c r="C204">
        <f t="shared" si="48"/>
        <v>331.8</v>
      </c>
      <c r="D204">
        <f t="shared" si="48"/>
        <v>25.2</v>
      </c>
      <c r="E204">
        <f t="shared" si="48"/>
        <v>126</v>
      </c>
      <c r="F204">
        <f t="shared" si="48"/>
        <v>180.6</v>
      </c>
      <c r="G204">
        <f t="shared" si="48"/>
        <v>63</v>
      </c>
      <c r="H204">
        <f t="shared" si="48"/>
        <v>71.399999999999991</v>
      </c>
      <c r="I204">
        <f t="shared" si="48"/>
        <v>29.4</v>
      </c>
      <c r="J204" s="10"/>
      <c r="K204">
        <f t="shared" si="49"/>
        <v>149.60000000000002</v>
      </c>
      <c r="L204">
        <f t="shared" si="49"/>
        <v>343.40000000000003</v>
      </c>
      <c r="M204">
        <f t="shared" si="49"/>
        <v>23.799999999999997</v>
      </c>
      <c r="N204">
        <f t="shared" si="49"/>
        <v>125.8</v>
      </c>
      <c r="O204">
        <f t="shared" si="49"/>
        <v>183.6</v>
      </c>
      <c r="P204">
        <f t="shared" si="49"/>
        <v>61.2</v>
      </c>
      <c r="Q204">
        <f t="shared" si="49"/>
        <v>71.399999999999991</v>
      </c>
      <c r="R204">
        <f t="shared" si="49"/>
        <v>30.6</v>
      </c>
    </row>
    <row r="205" spans="1:19" x14ac:dyDescent="0.25">
      <c r="A205" s="1" t="s">
        <v>254</v>
      </c>
      <c r="B205" t="s">
        <v>252</v>
      </c>
    </row>
    <row r="206" spans="1:19" x14ac:dyDescent="0.25">
      <c r="B206" s="1" t="s">
        <v>2</v>
      </c>
      <c r="C206" s="1" t="s">
        <v>72</v>
      </c>
      <c r="D206" s="1" t="s">
        <v>3</v>
      </c>
      <c r="E206" s="1" t="s">
        <v>4</v>
      </c>
      <c r="F206" s="1" t="s">
        <v>250</v>
      </c>
      <c r="G206" s="1" t="s">
        <v>6</v>
      </c>
      <c r="H206" s="1" t="s">
        <v>224</v>
      </c>
      <c r="I206" s="1" t="s">
        <v>225</v>
      </c>
      <c r="J206" s="13" t="s">
        <v>206</v>
      </c>
      <c r="K206" s="1" t="s">
        <v>2</v>
      </c>
      <c r="L206" s="1" t="s">
        <v>72</v>
      </c>
      <c r="M206" s="1" t="s">
        <v>3</v>
      </c>
      <c r="N206" s="1" t="s">
        <v>4</v>
      </c>
      <c r="O206" s="1" t="s">
        <v>250</v>
      </c>
      <c r="P206" s="1" t="s">
        <v>6</v>
      </c>
      <c r="Q206" s="1" t="s">
        <v>224</v>
      </c>
      <c r="R206" s="1" t="s">
        <v>225</v>
      </c>
      <c r="S206" s="1" t="s">
        <v>206</v>
      </c>
    </row>
    <row r="207" spans="1:19" x14ac:dyDescent="0.25">
      <c r="A207">
        <v>1750</v>
      </c>
      <c r="B207">
        <f>B167+B168+B172+B174</f>
        <v>96</v>
      </c>
      <c r="C207">
        <f t="shared" ref="C207:I207" si="50">C167+C168+C172+C174</f>
        <v>420</v>
      </c>
      <c r="D207">
        <f t="shared" si="50"/>
        <v>18</v>
      </c>
      <c r="E207">
        <f t="shared" si="50"/>
        <v>64</v>
      </c>
      <c r="F207">
        <f t="shared" si="50"/>
        <v>186</v>
      </c>
      <c r="G207">
        <f t="shared" si="50"/>
        <v>96</v>
      </c>
      <c r="H207">
        <f t="shared" si="50"/>
        <v>0</v>
      </c>
      <c r="I207">
        <f t="shared" si="50"/>
        <v>64.320000000000007</v>
      </c>
      <c r="J207" s="10">
        <f>SUM(B207:I207)</f>
        <v>944.32</v>
      </c>
      <c r="K207">
        <f t="shared" ref="K207:R207" si="51">K167+K168+K172+K174</f>
        <v>151.68</v>
      </c>
      <c r="L207">
        <f t="shared" si="51"/>
        <v>138</v>
      </c>
      <c r="M207">
        <f t="shared" si="51"/>
        <v>46.08</v>
      </c>
      <c r="N207">
        <f t="shared" si="51"/>
        <v>403.2</v>
      </c>
      <c r="O207">
        <f t="shared" si="51"/>
        <v>55.679999999999993</v>
      </c>
      <c r="P207">
        <f t="shared" si="51"/>
        <v>30.72</v>
      </c>
      <c r="Q207">
        <f t="shared" si="51"/>
        <v>0</v>
      </c>
      <c r="R207">
        <f t="shared" si="51"/>
        <v>346.08</v>
      </c>
      <c r="S207">
        <f>SUM(K207:R207)</f>
        <v>1171.44</v>
      </c>
    </row>
    <row r="208" spans="1:19" x14ac:dyDescent="0.25">
      <c r="A208">
        <v>1810</v>
      </c>
      <c r="B208">
        <f>B167+B168+B172+B174+B169</f>
        <v>96</v>
      </c>
      <c r="C208">
        <f t="shared" ref="C208:I208" si="52">C167+C168+C172+C174+C169</f>
        <v>420</v>
      </c>
      <c r="D208">
        <f t="shared" si="52"/>
        <v>18</v>
      </c>
      <c r="E208">
        <f t="shared" si="52"/>
        <v>64</v>
      </c>
      <c r="F208">
        <f t="shared" si="52"/>
        <v>186</v>
      </c>
      <c r="G208">
        <f t="shared" si="52"/>
        <v>96</v>
      </c>
      <c r="H208">
        <f t="shared" si="52"/>
        <v>21.12</v>
      </c>
      <c r="I208">
        <f t="shared" si="52"/>
        <v>64.320000000000007</v>
      </c>
      <c r="J208" s="10">
        <f t="shared" ref="J208:J222" si="53">SUM(B208:I208)</f>
        <v>965.44</v>
      </c>
      <c r="K208">
        <f t="shared" ref="K208:R208" si="54">K167+K168+K172+K174+K169</f>
        <v>151.68</v>
      </c>
      <c r="L208">
        <f t="shared" si="54"/>
        <v>138</v>
      </c>
      <c r="M208">
        <f t="shared" si="54"/>
        <v>46.08</v>
      </c>
      <c r="N208">
        <f t="shared" si="54"/>
        <v>403.2</v>
      </c>
      <c r="O208">
        <f t="shared" si="54"/>
        <v>55.679999999999993</v>
      </c>
      <c r="P208">
        <f t="shared" si="54"/>
        <v>30.72</v>
      </c>
      <c r="Q208">
        <f t="shared" si="54"/>
        <v>9.36</v>
      </c>
      <c r="R208">
        <f t="shared" si="54"/>
        <v>346.08</v>
      </c>
      <c r="S208">
        <f t="shared" ref="S208:S222" si="55">SUM(K208:R208)</f>
        <v>1180.8</v>
      </c>
    </row>
    <row r="209" spans="1:19" x14ac:dyDescent="0.25">
      <c r="A209">
        <v>1820</v>
      </c>
      <c r="B209">
        <f t="shared" ref="B209:H209" si="56">B167+B168+B172+B169+B170+B171+B173+B174</f>
        <v>144</v>
      </c>
      <c r="C209">
        <f t="shared" si="56"/>
        <v>420</v>
      </c>
      <c r="D209">
        <f t="shared" si="56"/>
        <v>26</v>
      </c>
      <c r="E209">
        <f t="shared" si="56"/>
        <v>64</v>
      </c>
      <c r="F209">
        <f t="shared" si="56"/>
        <v>240</v>
      </c>
      <c r="G209">
        <f t="shared" si="56"/>
        <v>150</v>
      </c>
      <c r="H209">
        <f t="shared" si="56"/>
        <v>21.12</v>
      </c>
      <c r="I209">
        <f>I167+I168+I172+I169+I170+I171+I173+I174</f>
        <v>64.320000000000007</v>
      </c>
      <c r="J209" s="10">
        <f t="shared" si="53"/>
        <v>1129.4399999999998</v>
      </c>
      <c r="K209">
        <f t="shared" ref="K209:R209" si="57">K167+K168+K172+K169+K170+K171+K173+K174</f>
        <v>182.4</v>
      </c>
      <c r="L209">
        <f t="shared" si="57"/>
        <v>138</v>
      </c>
      <c r="M209">
        <f t="shared" si="57"/>
        <v>56.76</v>
      </c>
      <c r="N209">
        <f t="shared" si="57"/>
        <v>403.2</v>
      </c>
      <c r="O209">
        <f t="shared" si="57"/>
        <v>146.32</v>
      </c>
      <c r="P209">
        <f t="shared" si="57"/>
        <v>45.68</v>
      </c>
      <c r="Q209">
        <f t="shared" si="57"/>
        <v>9.36</v>
      </c>
      <c r="R209">
        <f t="shared" si="57"/>
        <v>346.08</v>
      </c>
      <c r="S209">
        <f t="shared" si="55"/>
        <v>1327.7999999999997</v>
      </c>
    </row>
    <row r="210" spans="1:19" x14ac:dyDescent="0.25">
      <c r="A210">
        <v>1840</v>
      </c>
      <c r="B210">
        <f t="shared" ref="B210:I210" si="58">B169+B175+B177+B178+B179+B180+B181+B182</f>
        <v>235.2</v>
      </c>
      <c r="C210">
        <f t="shared" si="58"/>
        <v>420</v>
      </c>
      <c r="D210">
        <f t="shared" si="58"/>
        <v>41.599999999999994</v>
      </c>
      <c r="E210">
        <f t="shared" si="58"/>
        <v>120</v>
      </c>
      <c r="F210">
        <f t="shared" si="58"/>
        <v>331.2</v>
      </c>
      <c r="G210">
        <f t="shared" si="58"/>
        <v>259.2</v>
      </c>
      <c r="H210">
        <f t="shared" si="58"/>
        <v>21.12</v>
      </c>
      <c r="I210">
        <f t="shared" si="58"/>
        <v>288</v>
      </c>
      <c r="J210" s="10">
        <f t="shared" si="53"/>
        <v>1716.32</v>
      </c>
      <c r="K210">
        <f t="shared" ref="K210:R210" si="59">K169+K175+K177+K178+K179+K180+K181+K182</f>
        <v>228.16</v>
      </c>
      <c r="L210">
        <f t="shared" si="59"/>
        <v>249.60000000000002</v>
      </c>
      <c r="M210">
        <f t="shared" si="59"/>
        <v>73.599999999999994</v>
      </c>
      <c r="N210">
        <f t="shared" si="59"/>
        <v>337.91999999999996</v>
      </c>
      <c r="O210">
        <f t="shared" si="59"/>
        <v>260.95999999999998</v>
      </c>
      <c r="P210">
        <f t="shared" si="59"/>
        <v>54.96</v>
      </c>
      <c r="Q210">
        <f t="shared" si="59"/>
        <v>9.36</v>
      </c>
      <c r="R210">
        <f t="shared" si="59"/>
        <v>267.52</v>
      </c>
      <c r="S210">
        <f t="shared" si="55"/>
        <v>1482.08</v>
      </c>
    </row>
    <row r="211" spans="1:19" x14ac:dyDescent="0.25">
      <c r="A211">
        <v>1860</v>
      </c>
      <c r="B211">
        <f t="shared" ref="B211:H211" si="60">B176+B175+B177+B178+B179+B180+B181</f>
        <v>235.2</v>
      </c>
      <c r="C211">
        <f t="shared" si="60"/>
        <v>420</v>
      </c>
      <c r="D211">
        <f t="shared" si="60"/>
        <v>41.599999999999994</v>
      </c>
      <c r="E211">
        <f t="shared" si="60"/>
        <v>120</v>
      </c>
      <c r="F211">
        <f t="shared" si="60"/>
        <v>331.2</v>
      </c>
      <c r="G211">
        <f t="shared" si="60"/>
        <v>259.2</v>
      </c>
      <c r="H211">
        <f t="shared" si="60"/>
        <v>73.92</v>
      </c>
      <c r="I211">
        <f>I176+I175+I177+I178+I179+I180+I181+I182</f>
        <v>288</v>
      </c>
      <c r="J211" s="10">
        <f t="shared" si="53"/>
        <v>1769.1200000000001</v>
      </c>
      <c r="K211">
        <f t="shared" ref="K211:Q211" si="61">K176+K175+K177+K178+K179+K180+K181</f>
        <v>228.16</v>
      </c>
      <c r="L211">
        <f t="shared" si="61"/>
        <v>249.60000000000002</v>
      </c>
      <c r="M211">
        <f t="shared" si="61"/>
        <v>73.599999999999994</v>
      </c>
      <c r="N211">
        <f t="shared" si="61"/>
        <v>337.91999999999996</v>
      </c>
      <c r="O211">
        <f t="shared" si="61"/>
        <v>260.95999999999998</v>
      </c>
      <c r="P211">
        <f t="shared" si="61"/>
        <v>54.96</v>
      </c>
      <c r="Q211">
        <f t="shared" si="61"/>
        <v>26.400000000000002</v>
      </c>
      <c r="R211">
        <f>R176+R175+R177+R178+R179+R180+R181+R182</f>
        <v>267.52</v>
      </c>
      <c r="S211">
        <f t="shared" si="55"/>
        <v>1499.1200000000001</v>
      </c>
    </row>
    <row r="212" spans="1:19" x14ac:dyDescent="0.25">
      <c r="A212">
        <v>1900</v>
      </c>
      <c r="B212">
        <f>B177+B178+B179+B180+B181+B182+B184+B175</f>
        <v>235.2</v>
      </c>
      <c r="C212">
        <f t="shared" ref="C212:I212" si="62">C177+C178+C179+C180+C181+C182+C184+C175</f>
        <v>420</v>
      </c>
      <c r="D212">
        <f t="shared" si="62"/>
        <v>41.599999999999994</v>
      </c>
      <c r="E212">
        <f t="shared" si="62"/>
        <v>120</v>
      </c>
      <c r="F212">
        <f t="shared" si="62"/>
        <v>331.2</v>
      </c>
      <c r="G212">
        <f t="shared" si="62"/>
        <v>259.2</v>
      </c>
      <c r="H212">
        <f t="shared" si="62"/>
        <v>237.60000000000002</v>
      </c>
      <c r="I212">
        <f t="shared" si="62"/>
        <v>288</v>
      </c>
      <c r="J212" s="10">
        <f t="shared" si="53"/>
        <v>1932.8000000000002</v>
      </c>
      <c r="K212">
        <f t="shared" ref="K212:R212" si="63">K177+K178+K179+K180+K181+K182+K184+K175</f>
        <v>228.16</v>
      </c>
      <c r="L212">
        <f t="shared" si="63"/>
        <v>249.60000000000002</v>
      </c>
      <c r="M212">
        <f t="shared" si="63"/>
        <v>73.599999999999994</v>
      </c>
      <c r="N212">
        <f t="shared" si="63"/>
        <v>337.91999999999996</v>
      </c>
      <c r="O212">
        <f t="shared" si="63"/>
        <v>260.95999999999998</v>
      </c>
      <c r="P212">
        <f t="shared" si="63"/>
        <v>54.96</v>
      </c>
      <c r="Q212">
        <f t="shared" si="63"/>
        <v>42.419999999999995</v>
      </c>
      <c r="R212">
        <f t="shared" si="63"/>
        <v>267.52</v>
      </c>
      <c r="S212">
        <f t="shared" si="55"/>
        <v>1515.14</v>
      </c>
    </row>
    <row r="213" spans="1:19" x14ac:dyDescent="0.25">
      <c r="A213">
        <v>1910</v>
      </c>
      <c r="B213">
        <f t="shared" ref="B213:I214" si="64">B183+B184+B185+B186+B187+B188+B189+B190</f>
        <v>187.6</v>
      </c>
      <c r="C213">
        <f t="shared" si="64"/>
        <v>450</v>
      </c>
      <c r="D213">
        <f t="shared" si="64"/>
        <v>64.8</v>
      </c>
      <c r="E213">
        <f t="shared" si="64"/>
        <v>162</v>
      </c>
      <c r="F213">
        <f t="shared" si="64"/>
        <v>210.4</v>
      </c>
      <c r="G213">
        <f t="shared" si="64"/>
        <v>265.60000000000002</v>
      </c>
      <c r="H213">
        <f t="shared" si="64"/>
        <v>237.60000000000002</v>
      </c>
      <c r="I213">
        <f t="shared" si="64"/>
        <v>324</v>
      </c>
      <c r="J213" s="10">
        <f t="shared" si="53"/>
        <v>1902</v>
      </c>
      <c r="K213">
        <f t="shared" ref="K213:R214" si="65">K183+K184+K185+K186+K187+K188+K189+K190</f>
        <v>214.39999999999998</v>
      </c>
      <c r="L213">
        <f t="shared" si="65"/>
        <v>439.20000000000005</v>
      </c>
      <c r="M213">
        <f t="shared" si="65"/>
        <v>92.800000000000011</v>
      </c>
      <c r="N213">
        <f t="shared" si="65"/>
        <v>198.88</v>
      </c>
      <c r="O213">
        <f t="shared" si="65"/>
        <v>364.6</v>
      </c>
      <c r="P213">
        <f t="shared" si="65"/>
        <v>92</v>
      </c>
      <c r="Q213">
        <f t="shared" si="65"/>
        <v>42.419999999999995</v>
      </c>
      <c r="R213">
        <f t="shared" si="65"/>
        <v>217.8</v>
      </c>
      <c r="S213">
        <f t="shared" si="55"/>
        <v>1662.1000000000001</v>
      </c>
    </row>
    <row r="214" spans="1:19" x14ac:dyDescent="0.25">
      <c r="A214">
        <v>1944</v>
      </c>
      <c r="B214">
        <f t="shared" si="64"/>
        <v>177.36</v>
      </c>
      <c r="C214">
        <f t="shared" si="64"/>
        <v>450</v>
      </c>
      <c r="D214">
        <f t="shared" si="64"/>
        <v>62.88</v>
      </c>
      <c r="E214">
        <f t="shared" si="64"/>
        <v>162</v>
      </c>
      <c r="F214">
        <f t="shared" si="64"/>
        <v>190.56</v>
      </c>
      <c r="G214">
        <f t="shared" si="64"/>
        <v>255.36</v>
      </c>
      <c r="H214">
        <f t="shared" si="64"/>
        <v>237.60000000000002</v>
      </c>
      <c r="I214">
        <f t="shared" si="64"/>
        <v>324</v>
      </c>
      <c r="J214" s="10">
        <f t="shared" si="53"/>
        <v>1859.7599999999998</v>
      </c>
      <c r="K214">
        <f t="shared" si="65"/>
        <v>211.39999999999998</v>
      </c>
      <c r="L214">
        <f t="shared" si="65"/>
        <v>439.20000000000005</v>
      </c>
      <c r="M214">
        <f t="shared" si="65"/>
        <v>96.800000000000011</v>
      </c>
      <c r="N214">
        <f t="shared" si="65"/>
        <v>198.88</v>
      </c>
      <c r="O214">
        <f t="shared" si="65"/>
        <v>354.5</v>
      </c>
      <c r="P214">
        <f t="shared" si="65"/>
        <v>95.8</v>
      </c>
      <c r="Q214">
        <f t="shared" si="65"/>
        <v>42.419999999999995</v>
      </c>
      <c r="R214">
        <f t="shared" si="65"/>
        <v>217.8</v>
      </c>
      <c r="S214">
        <f t="shared" si="55"/>
        <v>1656.8000000000002</v>
      </c>
    </row>
    <row r="215" spans="1:19" x14ac:dyDescent="0.25">
      <c r="A215">
        <v>1945</v>
      </c>
      <c r="B215">
        <f t="shared" ref="B215:H215" si="66">B191+B192+B193+B194+B195+B196+B197</f>
        <v>111.36</v>
      </c>
      <c r="C215">
        <f t="shared" si="66"/>
        <v>0</v>
      </c>
      <c r="D215">
        <f t="shared" si="66"/>
        <v>32.880000000000003</v>
      </c>
      <c r="E215">
        <f t="shared" si="66"/>
        <v>192</v>
      </c>
      <c r="F215">
        <f t="shared" si="66"/>
        <v>150.35999999999999</v>
      </c>
      <c r="G215">
        <f t="shared" si="66"/>
        <v>195.36</v>
      </c>
      <c r="H215">
        <f t="shared" si="66"/>
        <v>126.72</v>
      </c>
      <c r="I215">
        <f>I191+I192+I193+I194+I195+I196+I197</f>
        <v>336</v>
      </c>
      <c r="J215" s="10">
        <f t="shared" si="53"/>
        <v>1144.68</v>
      </c>
      <c r="K215">
        <f t="shared" ref="K215:P215" si="67">K191+K192+K193+K194+K195+K196</f>
        <v>191.4</v>
      </c>
      <c r="L215">
        <f t="shared" si="67"/>
        <v>0</v>
      </c>
      <c r="M215">
        <f t="shared" si="67"/>
        <v>52.800000000000004</v>
      </c>
      <c r="N215">
        <f t="shared" si="67"/>
        <v>169.6</v>
      </c>
      <c r="O215">
        <f t="shared" si="67"/>
        <v>196.3</v>
      </c>
      <c r="P215">
        <f t="shared" si="67"/>
        <v>65.400000000000006</v>
      </c>
      <c r="Q215">
        <f t="shared" ref="Q215" si="68">Q191+Q192+Q193+Q194+Q195+Q196+Q197</f>
        <v>50.88</v>
      </c>
      <c r="R215">
        <f>R191+R192+R193+R194+R195+R196+R197</f>
        <v>178.5</v>
      </c>
      <c r="S215">
        <f t="shared" si="55"/>
        <v>904.88</v>
      </c>
    </row>
    <row r="216" spans="1:19" x14ac:dyDescent="0.25">
      <c r="A216">
        <v>1950</v>
      </c>
      <c r="B216">
        <f t="shared" ref="B216:H216" si="69">B191+B192+B193+B194+B195+B196+B198+B197</f>
        <v>138.24</v>
      </c>
      <c r="C216">
        <f t="shared" si="69"/>
        <v>23.52</v>
      </c>
      <c r="D216">
        <f t="shared" si="69"/>
        <v>37.92</v>
      </c>
      <c r="E216">
        <f t="shared" si="69"/>
        <v>215.52</v>
      </c>
      <c r="F216">
        <f t="shared" si="69"/>
        <v>202.44</v>
      </c>
      <c r="G216">
        <f t="shared" si="69"/>
        <v>222.24</v>
      </c>
      <c r="H216">
        <f t="shared" si="69"/>
        <v>160.32</v>
      </c>
      <c r="I216">
        <f>I191+I192+I193+I194+I195+I196+I198+I197</f>
        <v>336</v>
      </c>
      <c r="J216" s="10">
        <f t="shared" si="53"/>
        <v>1336.2</v>
      </c>
      <c r="K216">
        <f t="shared" ref="K216:R216" si="70">K191+K192+K193+K194+K195+K196+K198+K197</f>
        <v>206.52</v>
      </c>
      <c r="L216">
        <f t="shared" si="70"/>
        <v>35.28</v>
      </c>
      <c r="M216">
        <f t="shared" si="70"/>
        <v>59.64</v>
      </c>
      <c r="N216">
        <f t="shared" si="70"/>
        <v>175.72</v>
      </c>
      <c r="O216">
        <f t="shared" si="70"/>
        <v>246.34</v>
      </c>
      <c r="P216">
        <f t="shared" si="70"/>
        <v>73.320000000000007</v>
      </c>
      <c r="Q216">
        <f t="shared" si="70"/>
        <v>68.52000000000001</v>
      </c>
      <c r="R216">
        <f t="shared" si="70"/>
        <v>178.5</v>
      </c>
      <c r="S216">
        <f t="shared" si="55"/>
        <v>1043.8400000000001</v>
      </c>
    </row>
    <row r="217" spans="1:19" x14ac:dyDescent="0.25">
      <c r="A217">
        <v>1960</v>
      </c>
      <c r="B217">
        <f>B191+B192+B193+B194+B195+B196+B198+B199</f>
        <v>200.96</v>
      </c>
      <c r="C217">
        <f t="shared" ref="C217:I217" si="71">C191+C192+C193+C194+C195+C196+C198+C199+C197</f>
        <v>78.399999999999991</v>
      </c>
      <c r="D217">
        <f t="shared" si="71"/>
        <v>49.68</v>
      </c>
      <c r="E217">
        <f t="shared" si="71"/>
        <v>270.39999999999998</v>
      </c>
      <c r="F217">
        <f t="shared" si="71"/>
        <v>323.95999999999998</v>
      </c>
      <c r="G217">
        <f t="shared" si="71"/>
        <v>284.96000000000004</v>
      </c>
      <c r="H217">
        <f t="shared" si="71"/>
        <v>238.71999999999997</v>
      </c>
      <c r="I217">
        <f t="shared" si="71"/>
        <v>336</v>
      </c>
      <c r="J217" s="10">
        <f t="shared" si="53"/>
        <v>1783.0800000000002</v>
      </c>
      <c r="K217">
        <f t="shared" ref="K217:P217" si="72">K191+K192+K193+K194+K195+K196+K198+K199</f>
        <v>431.48</v>
      </c>
      <c r="L217">
        <f t="shared" si="72"/>
        <v>612.88</v>
      </c>
      <c r="M217">
        <f t="shared" si="72"/>
        <v>77.88</v>
      </c>
      <c r="N217">
        <f t="shared" si="72"/>
        <v>303.39999999999998</v>
      </c>
      <c r="O217">
        <f t="shared" si="72"/>
        <v>374.02</v>
      </c>
      <c r="P217">
        <f t="shared" si="72"/>
        <v>91.56</v>
      </c>
      <c r="Q217">
        <f>Q191+Q192+Q193+Q194+Q195+Q196+Q198+Q199+Q197</f>
        <v>141.48000000000002</v>
      </c>
      <c r="R217">
        <f>R191+R192+R193+R194+R195+R196+R198+R199+R197</f>
        <v>178.5</v>
      </c>
      <c r="S217">
        <f t="shared" si="55"/>
        <v>2211.2000000000003</v>
      </c>
    </row>
    <row r="218" spans="1:19" x14ac:dyDescent="0.25">
      <c r="A218">
        <v>1975</v>
      </c>
      <c r="B218">
        <f t="shared" ref="B218:G218" si="73">B199+B200+B193+B194+B198</f>
        <v>89.600000000000009</v>
      </c>
      <c r="C218">
        <f t="shared" si="73"/>
        <v>84.16</v>
      </c>
      <c r="D218">
        <f t="shared" si="73"/>
        <v>46.8</v>
      </c>
      <c r="E218">
        <f t="shared" si="73"/>
        <v>78.399999999999991</v>
      </c>
      <c r="F218">
        <f t="shared" si="73"/>
        <v>294.2</v>
      </c>
      <c r="G218">
        <f t="shared" si="73"/>
        <v>269.60000000000002</v>
      </c>
      <c r="H218">
        <f>H199+H200+H193+H194+H198+H201+H202</f>
        <v>177.92</v>
      </c>
      <c r="I218">
        <f>I199+I200+I193+I194+I198+I201+I202</f>
        <v>57.92</v>
      </c>
      <c r="J218" s="10">
        <f t="shared" si="53"/>
        <v>1098.6000000000001</v>
      </c>
      <c r="K218">
        <f t="shared" ref="K218:P218" si="74">K199+K200+K193+K194+K198</f>
        <v>240.08</v>
      </c>
      <c r="L218">
        <f t="shared" si="74"/>
        <v>646.72</v>
      </c>
      <c r="M218">
        <f t="shared" si="74"/>
        <v>66.680000000000007</v>
      </c>
      <c r="N218">
        <f t="shared" si="74"/>
        <v>133.79999999999998</v>
      </c>
      <c r="O218">
        <f t="shared" si="74"/>
        <v>297.72000000000003</v>
      </c>
      <c r="P218">
        <f t="shared" si="74"/>
        <v>78.960000000000008</v>
      </c>
      <c r="Q218">
        <f>Q199+Q200+Q193+Q194+Q198+Q201+Q202</f>
        <v>143.88</v>
      </c>
      <c r="R218">
        <f>R199+R200+R193+R194+R198+R201+R202</f>
        <v>59.76</v>
      </c>
      <c r="S218">
        <f t="shared" si="55"/>
        <v>1667.6000000000001</v>
      </c>
    </row>
    <row r="219" spans="1:19" x14ac:dyDescent="0.25">
      <c r="A219">
        <v>1983</v>
      </c>
      <c r="B219">
        <f t="shared" ref="B219:G219" si="75">B199+B200+B193+B194</f>
        <v>62.720000000000006</v>
      </c>
      <c r="C219">
        <f t="shared" si="75"/>
        <v>60.639999999999993</v>
      </c>
      <c r="D219">
        <f t="shared" si="75"/>
        <v>41.76</v>
      </c>
      <c r="E219">
        <f t="shared" si="75"/>
        <v>54.879999999999995</v>
      </c>
      <c r="F219">
        <f t="shared" si="75"/>
        <v>242.12</v>
      </c>
      <c r="G219">
        <f t="shared" si="75"/>
        <v>242.72</v>
      </c>
      <c r="H219">
        <f>H199+H200+H193+H194+H201+H202</f>
        <v>144.32</v>
      </c>
      <c r="I219">
        <f>I199+I200+I193+I194+I201+I202</f>
        <v>57.92</v>
      </c>
      <c r="J219" s="10">
        <f t="shared" si="53"/>
        <v>907.08</v>
      </c>
      <c r="K219">
        <f t="shared" ref="K219:P219" si="76">K199+K200+K193+K194</f>
        <v>224.96</v>
      </c>
      <c r="L219">
        <f t="shared" si="76"/>
        <v>611.44000000000005</v>
      </c>
      <c r="M219">
        <f t="shared" si="76"/>
        <v>59.84</v>
      </c>
      <c r="N219">
        <f t="shared" si="76"/>
        <v>127.67999999999999</v>
      </c>
      <c r="O219">
        <f t="shared" si="76"/>
        <v>247.68</v>
      </c>
      <c r="P219">
        <f t="shared" si="76"/>
        <v>71.040000000000006</v>
      </c>
      <c r="Q219">
        <f>Q199+Q200+Q193+Q194+Q201+Q202</f>
        <v>126.24</v>
      </c>
      <c r="R219">
        <f>R199+R200+R193+R194+R201+R202</f>
        <v>59.76</v>
      </c>
      <c r="S219">
        <f t="shared" si="55"/>
        <v>1528.64</v>
      </c>
    </row>
    <row r="220" spans="1:19" x14ac:dyDescent="0.25">
      <c r="A220">
        <v>1985</v>
      </c>
      <c r="B220">
        <f t="shared" ref="B220:I220" si="77">B199+B200+B204+B193+B194+B201+B202</f>
        <v>209.72</v>
      </c>
      <c r="C220">
        <f t="shared" si="77"/>
        <v>392.44</v>
      </c>
      <c r="D220">
        <f t="shared" si="77"/>
        <v>66.960000000000008</v>
      </c>
      <c r="E220">
        <f t="shared" si="77"/>
        <v>180.88</v>
      </c>
      <c r="F220">
        <f t="shared" si="77"/>
        <v>422.72</v>
      </c>
      <c r="G220">
        <f t="shared" si="77"/>
        <v>305.72000000000003</v>
      </c>
      <c r="H220">
        <f t="shared" si="77"/>
        <v>215.72</v>
      </c>
      <c r="I220">
        <f t="shared" si="77"/>
        <v>87.32</v>
      </c>
      <c r="J220" s="10">
        <f t="shared" si="53"/>
        <v>1881.48</v>
      </c>
      <c r="K220">
        <f t="shared" ref="K220:P220" si="78">K199+K200+K204+K193+K194</f>
        <v>374.56000000000006</v>
      </c>
      <c r="L220">
        <f t="shared" si="78"/>
        <v>954.84000000000015</v>
      </c>
      <c r="M220">
        <f t="shared" si="78"/>
        <v>83.639999999999986</v>
      </c>
      <c r="N220">
        <f t="shared" si="78"/>
        <v>253.48</v>
      </c>
      <c r="O220">
        <f>O199+O200+O204+O193+O194</f>
        <v>431.28</v>
      </c>
      <c r="P220">
        <f t="shared" si="78"/>
        <v>132.24</v>
      </c>
      <c r="Q220">
        <f>Q199+Q200+Q204+Q193+Q194+Q201+Q202</f>
        <v>197.64</v>
      </c>
      <c r="R220">
        <f>R199+R200+R204+R193+R194+R201+R202</f>
        <v>90.36</v>
      </c>
      <c r="S220">
        <f t="shared" si="55"/>
        <v>2518.04</v>
      </c>
    </row>
    <row r="221" spans="1:19" x14ac:dyDescent="0.25">
      <c r="A221">
        <v>1987</v>
      </c>
      <c r="B221">
        <f>B199+B200+B204+B193+B201+B202</f>
        <v>209.72</v>
      </c>
      <c r="C221">
        <f t="shared" ref="C221:I221" si="79">C199+C200+C204+C193+C201+C202</f>
        <v>392.44</v>
      </c>
      <c r="D221">
        <f t="shared" si="79"/>
        <v>66.960000000000008</v>
      </c>
      <c r="E221">
        <f t="shared" si="79"/>
        <v>180.88</v>
      </c>
      <c r="F221">
        <f t="shared" si="79"/>
        <v>302.12</v>
      </c>
      <c r="G221">
        <f t="shared" si="79"/>
        <v>125.72</v>
      </c>
      <c r="H221">
        <f t="shared" si="79"/>
        <v>215.72</v>
      </c>
      <c r="I221">
        <f t="shared" si="79"/>
        <v>87.32</v>
      </c>
      <c r="J221" s="10">
        <f t="shared" si="53"/>
        <v>1580.8799999999999</v>
      </c>
      <c r="K221">
        <f t="shared" ref="K221:R221" si="80">K199+K200+K204+K193+K201+K202</f>
        <v>374.56000000000006</v>
      </c>
      <c r="L221">
        <f t="shared" si="80"/>
        <v>954.84000000000015</v>
      </c>
      <c r="M221">
        <f t="shared" si="80"/>
        <v>83.639999999999986</v>
      </c>
      <c r="N221">
        <f t="shared" si="80"/>
        <v>253.48</v>
      </c>
      <c r="O221">
        <f t="shared" si="80"/>
        <v>311.27999999999997</v>
      </c>
      <c r="P221">
        <f t="shared" si="80"/>
        <v>79.44</v>
      </c>
      <c r="Q221">
        <f t="shared" si="80"/>
        <v>197.64</v>
      </c>
      <c r="R221">
        <f t="shared" si="80"/>
        <v>90.36</v>
      </c>
      <c r="S221">
        <f t="shared" si="55"/>
        <v>2345.2399999999998</v>
      </c>
    </row>
    <row r="222" spans="1:19" x14ac:dyDescent="0.25">
      <c r="A222">
        <v>1990</v>
      </c>
      <c r="B222">
        <f t="shared" ref="B222:H222" si="81">SUM(B200:B204)+B193</f>
        <v>220.5</v>
      </c>
      <c r="C222">
        <f t="shared" si="81"/>
        <v>503.46000000000004</v>
      </c>
      <c r="D222">
        <f t="shared" si="81"/>
        <v>67.8</v>
      </c>
      <c r="E222">
        <f t="shared" si="81"/>
        <v>189</v>
      </c>
      <c r="F222">
        <f t="shared" si="81"/>
        <v>270.89999999999998</v>
      </c>
      <c r="G222">
        <f t="shared" si="81"/>
        <v>94.5</v>
      </c>
      <c r="H222">
        <f t="shared" si="81"/>
        <v>173.01999999999998</v>
      </c>
      <c r="I222">
        <f>SUM(I200:I204)</f>
        <v>102.02000000000001</v>
      </c>
      <c r="J222" s="10">
        <f t="shared" si="53"/>
        <v>1621.1999999999998</v>
      </c>
      <c r="K222">
        <f t="shared" ref="K222:Q222" si="82">SUM(K200:K204)+K193</f>
        <v>223.40000000000003</v>
      </c>
      <c r="L222">
        <f t="shared" si="82"/>
        <v>542.84</v>
      </c>
      <c r="M222">
        <f t="shared" si="82"/>
        <v>78</v>
      </c>
      <c r="N222">
        <f t="shared" si="82"/>
        <v>188.8</v>
      </c>
      <c r="O222">
        <f t="shared" si="82"/>
        <v>273.60000000000002</v>
      </c>
      <c r="P222">
        <f t="shared" si="82"/>
        <v>93.600000000000009</v>
      </c>
      <c r="Q222">
        <f t="shared" si="82"/>
        <v>167.88</v>
      </c>
      <c r="R222">
        <f>SUM(R200:R204)</f>
        <v>104.75999999999999</v>
      </c>
      <c r="S222">
        <f t="shared" si="55"/>
        <v>1672.8799999999999</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B93CD-F488-4A49-9F28-018FA4EFE61D}">
  <dimension ref="A1:J37"/>
  <sheetViews>
    <sheetView workbookViewId="0">
      <selection activeCell="I9" sqref="I9"/>
    </sheetView>
  </sheetViews>
  <sheetFormatPr defaultRowHeight="15" x14ac:dyDescent="0.25"/>
  <cols>
    <col min="1" max="1" width="21.140625" customWidth="1"/>
    <col min="2" max="2" width="9.7109375" customWidth="1"/>
    <col min="3" max="3" width="23.42578125" customWidth="1"/>
    <col min="4" max="4" width="19.42578125" customWidth="1"/>
    <col min="5" max="5" width="20.140625" customWidth="1"/>
    <col min="6" max="6" width="16.140625" customWidth="1"/>
    <col min="7" max="7" width="17.140625" customWidth="1"/>
    <col min="8" max="8" width="16.42578125" customWidth="1"/>
    <col min="10" max="10" width="19.42578125" customWidth="1"/>
  </cols>
  <sheetData>
    <row r="1" spans="1:10" x14ac:dyDescent="0.25">
      <c r="A1" s="1" t="s">
        <v>12</v>
      </c>
      <c r="B1" s="1" t="s">
        <v>13</v>
      </c>
      <c r="C1" s="1" t="s">
        <v>14</v>
      </c>
      <c r="D1" s="1" t="s">
        <v>15</v>
      </c>
      <c r="E1" s="1" t="s">
        <v>195</v>
      </c>
      <c r="F1" s="1" t="s">
        <v>18</v>
      </c>
      <c r="G1" s="1" t="s">
        <v>19</v>
      </c>
      <c r="H1" s="1" t="s">
        <v>20</v>
      </c>
      <c r="I1" s="1" t="s">
        <v>101</v>
      </c>
      <c r="J1" s="1"/>
    </row>
    <row r="2" spans="1:10" x14ac:dyDescent="0.25">
      <c r="A2" t="s">
        <v>16</v>
      </c>
      <c r="B2">
        <v>1750</v>
      </c>
      <c r="C2">
        <v>1840</v>
      </c>
      <c r="D2">
        <f xml:space="preserve"> (B2+C2)/2</f>
        <v>1795</v>
      </c>
      <c r="E2">
        <v>75</v>
      </c>
      <c r="F2">
        <v>4</v>
      </c>
      <c r="G2">
        <v>16</v>
      </c>
      <c r="H2">
        <f xml:space="preserve"> E2*F2*G2/100</f>
        <v>48</v>
      </c>
      <c r="I2">
        <f>(G18/C18)*H2</f>
        <v>75.369694767051854</v>
      </c>
    </row>
    <row r="3" spans="1:10" x14ac:dyDescent="0.25">
      <c r="A3" t="s">
        <v>21</v>
      </c>
      <c r="B3">
        <v>1820</v>
      </c>
      <c r="C3">
        <v>1840</v>
      </c>
      <c r="D3">
        <f t="shared" ref="D3:D12" si="0" xml:space="preserve"> (B3+C3)/2</f>
        <v>1830</v>
      </c>
      <c r="E3">
        <v>24</v>
      </c>
      <c r="F3">
        <v>1</v>
      </c>
      <c r="G3">
        <v>100</v>
      </c>
      <c r="H3">
        <f t="shared" ref="H3:H12" si="1" xml:space="preserve"> E3*F3*G3/100</f>
        <v>24</v>
      </c>
      <c r="I3">
        <f>((G20-I2)/(C20-H2))*H3</f>
        <v>15.343116434721281</v>
      </c>
    </row>
    <row r="4" spans="1:10" x14ac:dyDescent="0.25">
      <c r="A4" t="s">
        <v>22</v>
      </c>
      <c r="B4">
        <v>1840</v>
      </c>
      <c r="C4">
        <v>1910</v>
      </c>
      <c r="D4">
        <f t="shared" si="0"/>
        <v>1875</v>
      </c>
      <c r="E4">
        <v>45</v>
      </c>
      <c r="F4">
        <v>8</v>
      </c>
      <c r="G4">
        <v>16</v>
      </c>
      <c r="H4">
        <f t="shared" si="1"/>
        <v>57.6</v>
      </c>
      <c r="I4">
        <f>(G22/C22)*H4</f>
        <v>55.703258377398392</v>
      </c>
    </row>
    <row r="5" spans="1:10" x14ac:dyDescent="0.25">
      <c r="A5" t="s">
        <v>23</v>
      </c>
      <c r="B5">
        <v>1840</v>
      </c>
      <c r="C5">
        <v>1910</v>
      </c>
      <c r="D5">
        <f t="shared" si="0"/>
        <v>1875</v>
      </c>
      <c r="E5">
        <v>30</v>
      </c>
      <c r="F5">
        <v>2</v>
      </c>
      <c r="G5">
        <v>100</v>
      </c>
      <c r="H5">
        <f t="shared" si="1"/>
        <v>60</v>
      </c>
      <c r="I5">
        <f>(G22/C22)*H5</f>
        <v>58.024227476456659</v>
      </c>
    </row>
    <row r="6" spans="1:10" x14ac:dyDescent="0.25">
      <c r="A6" t="s">
        <v>26</v>
      </c>
      <c r="B6">
        <v>1910</v>
      </c>
      <c r="C6">
        <v>1945</v>
      </c>
      <c r="D6">
        <f t="shared" si="0"/>
        <v>1927.5</v>
      </c>
      <c r="E6">
        <v>10</v>
      </c>
      <c r="F6">
        <v>8</v>
      </c>
      <c r="G6">
        <v>16</v>
      </c>
      <c r="H6">
        <f t="shared" si="1"/>
        <v>12.8</v>
      </c>
      <c r="I6">
        <f>(G$26/C$26)*H6</f>
        <v>14.635521090379783</v>
      </c>
    </row>
    <row r="7" spans="1:10" x14ac:dyDescent="0.25">
      <c r="A7" t="s">
        <v>24</v>
      </c>
      <c r="B7">
        <v>1910</v>
      </c>
      <c r="C7">
        <v>1945</v>
      </c>
      <c r="D7">
        <f xml:space="preserve"> (B7+C7)/2</f>
        <v>1927.5</v>
      </c>
      <c r="E7">
        <v>27</v>
      </c>
      <c r="F7">
        <v>3</v>
      </c>
      <c r="G7">
        <v>100</v>
      </c>
      <c r="H7">
        <f t="shared" si="1"/>
        <v>81</v>
      </c>
      <c r="I7">
        <f>(G$26/C$26)*H7</f>
        <v>92.615406900059568</v>
      </c>
    </row>
    <row r="8" spans="1:10" x14ac:dyDescent="0.25">
      <c r="A8" t="s">
        <v>27</v>
      </c>
      <c r="B8">
        <v>1945</v>
      </c>
      <c r="C8">
        <v>1975</v>
      </c>
      <c r="D8">
        <f t="shared" si="0"/>
        <v>1960</v>
      </c>
      <c r="E8">
        <v>4</v>
      </c>
      <c r="F8">
        <v>12</v>
      </c>
      <c r="G8">
        <v>16</v>
      </c>
      <c r="H8">
        <f t="shared" si="1"/>
        <v>7.68</v>
      </c>
      <c r="I8">
        <f>(G$30/C$30)*H8</f>
        <v>13.136349391792882</v>
      </c>
    </row>
    <row r="9" spans="1:10" x14ac:dyDescent="0.25">
      <c r="A9" t="s">
        <v>25</v>
      </c>
      <c r="B9">
        <v>1945</v>
      </c>
      <c r="C9">
        <v>1975</v>
      </c>
      <c r="D9">
        <f t="shared" si="0"/>
        <v>1960</v>
      </c>
      <c r="E9">
        <v>12</v>
      </c>
      <c r="F9">
        <v>4</v>
      </c>
      <c r="G9">
        <v>100</v>
      </c>
      <c r="H9">
        <f t="shared" si="1"/>
        <v>48</v>
      </c>
      <c r="I9">
        <f>((G$30)/(C$30))*H9</f>
        <v>82.102183698705517</v>
      </c>
    </row>
    <row r="10" spans="1:10" x14ac:dyDescent="0.25">
      <c r="A10" t="s">
        <v>31</v>
      </c>
      <c r="B10">
        <v>1950</v>
      </c>
      <c r="C10">
        <v>1982</v>
      </c>
      <c r="D10">
        <f t="shared" si="0"/>
        <v>1966</v>
      </c>
      <c r="E10">
        <f>dist_calculations!$B$37</f>
        <v>12</v>
      </c>
      <c r="F10">
        <v>7</v>
      </c>
      <c r="G10">
        <v>16</v>
      </c>
      <c r="H10">
        <f t="shared" si="1"/>
        <v>13.44</v>
      </c>
      <c r="I10">
        <f>((G$31-I9-I8)/(C$31-H9-H8))*H10</f>
        <v>7.5049025647819425</v>
      </c>
    </row>
    <row r="11" spans="1:10" x14ac:dyDescent="0.25">
      <c r="A11" t="s">
        <v>29</v>
      </c>
      <c r="B11">
        <v>1960</v>
      </c>
      <c r="C11">
        <v>1990</v>
      </c>
      <c r="D11">
        <f t="shared" si="0"/>
        <v>1975</v>
      </c>
      <c r="E11">
        <v>14</v>
      </c>
      <c r="F11">
        <v>14</v>
      </c>
      <c r="G11">
        <v>16</v>
      </c>
      <c r="H11">
        <f t="shared" si="1"/>
        <v>31.36</v>
      </c>
      <c r="I11">
        <f>((G$33-I10)/(C$33-H10))*H11</f>
        <v>112.20901016112167</v>
      </c>
    </row>
    <row r="12" spans="1:10" x14ac:dyDescent="0.25">
      <c r="A12" t="s">
        <v>149</v>
      </c>
      <c r="B12">
        <v>1990</v>
      </c>
      <c r="C12">
        <v>2010</v>
      </c>
      <c r="D12">
        <f t="shared" si="0"/>
        <v>2000</v>
      </c>
      <c r="E12">
        <f>dist_calculations!E$44</f>
        <v>15</v>
      </c>
      <c r="F12">
        <v>7</v>
      </c>
      <c r="G12">
        <v>35</v>
      </c>
      <c r="H12">
        <f t="shared" si="1"/>
        <v>36.75</v>
      </c>
      <c r="I12">
        <f>(G$37/C$37)*H12</f>
        <v>36.75</v>
      </c>
    </row>
    <row r="13" spans="1:10" x14ac:dyDescent="0.25">
      <c r="A13" t="s">
        <v>30</v>
      </c>
      <c r="B13">
        <v>1985</v>
      </c>
      <c r="C13">
        <v>2010</v>
      </c>
      <c r="D13">
        <f xml:space="preserve"> (B13+C13)/2</f>
        <v>1997.5</v>
      </c>
      <c r="E13">
        <f>dist_calculations!E$45</f>
        <v>10</v>
      </c>
      <c r="F13">
        <v>21</v>
      </c>
      <c r="G13">
        <v>35</v>
      </c>
      <c r="H13">
        <f xml:space="preserve"> E13*F13*G13/100</f>
        <v>73.5</v>
      </c>
      <c r="I13">
        <f>((G$36-I12)/(C$36-H12))*H13</f>
        <v>74.257113018072346</v>
      </c>
    </row>
    <row r="15" spans="1:10" x14ac:dyDescent="0.25">
      <c r="B15" s="1" t="s">
        <v>28</v>
      </c>
    </row>
    <row r="16" spans="1:10" x14ac:dyDescent="0.25">
      <c r="A16" s="1"/>
      <c r="B16" s="1" t="s">
        <v>0</v>
      </c>
      <c r="C16" s="1" t="s">
        <v>37</v>
      </c>
      <c r="D16" s="1" t="s">
        <v>38</v>
      </c>
      <c r="E16" s="1" t="s">
        <v>39</v>
      </c>
      <c r="F16" s="1" t="s">
        <v>40</v>
      </c>
      <c r="G16" s="1" t="s">
        <v>41</v>
      </c>
      <c r="H16" s="1" t="s">
        <v>102</v>
      </c>
      <c r="I16" s="1" t="s">
        <v>245</v>
      </c>
    </row>
    <row r="17" spans="1:9" x14ac:dyDescent="0.25">
      <c r="B17">
        <v>1750</v>
      </c>
      <c r="C17">
        <f>H2</f>
        <v>48</v>
      </c>
      <c r="H17">
        <f>I2</f>
        <v>75.369694767051854</v>
      </c>
    </row>
    <row r="18" spans="1:9" x14ac:dyDescent="0.25">
      <c r="B18" s="1">
        <v>1800</v>
      </c>
      <c r="C18">
        <f>H2</f>
        <v>48</v>
      </c>
      <c r="D18">
        <f>sources_consumption!D2</f>
        <v>28000</v>
      </c>
      <c r="F18">
        <f>(D18/D$37)*F$37</f>
        <v>68.362534936101454</v>
      </c>
      <c r="G18">
        <f t="shared" ref="G18:G37" si="2">(F18/F$37)*C$37</f>
        <v>75.369694767051854</v>
      </c>
      <c r="H18">
        <f>I2</f>
        <v>75.369694767051854</v>
      </c>
      <c r="I18">
        <f t="shared" ref="I18:I37" si="3">(H18/G18)*100</f>
        <v>100</v>
      </c>
    </row>
    <row r="19" spans="1:9" x14ac:dyDescent="0.25">
      <c r="B19">
        <v>1820</v>
      </c>
      <c r="C19">
        <f>H2+H3</f>
        <v>72</v>
      </c>
      <c r="E19">
        <f>_xlfn.FORECAST.LINEAR(B19,D$17:D$23,B$17:B$23)</f>
        <v>31800</v>
      </c>
      <c r="F19">
        <f>(E19/D$37)*F$37</f>
        <v>77.640307534572372</v>
      </c>
      <c r="G19">
        <f t="shared" si="2"/>
        <v>85.598439056866042</v>
      </c>
      <c r="H19">
        <f>I2+I3</f>
        <v>90.712811201773135</v>
      </c>
      <c r="I19">
        <f t="shared" si="3"/>
        <v>105.97484276729561</v>
      </c>
    </row>
    <row r="20" spans="1:9" x14ac:dyDescent="0.25">
      <c r="B20" s="1">
        <v>1830</v>
      </c>
      <c r="C20">
        <f>H2+H3</f>
        <v>72</v>
      </c>
      <c r="E20">
        <f>_xlfn.FORECAST.LINEAR(B20,D$17:D$23,B$17:B$23)</f>
        <v>33700</v>
      </c>
      <c r="F20">
        <f>(E20/D$37)*F$37</f>
        <v>82.279193833807824</v>
      </c>
      <c r="G20">
        <f t="shared" si="2"/>
        <v>90.712811201773135</v>
      </c>
      <c r="H20">
        <f>I2+I3</f>
        <v>90.712811201773135</v>
      </c>
      <c r="I20">
        <f t="shared" si="3"/>
        <v>100</v>
      </c>
    </row>
    <row r="21" spans="1:9" x14ac:dyDescent="0.25">
      <c r="B21">
        <v>1840</v>
      </c>
      <c r="C21">
        <f>H4+H5</f>
        <v>117.6</v>
      </c>
      <c r="E21">
        <f>_xlfn.FORECAST.LINEAR(B21,D$17:D$23,B$17:B$23)</f>
        <v>35600</v>
      </c>
      <c r="F21">
        <f>(E21/D$37)*F$37</f>
        <v>86.91808013304329</v>
      </c>
      <c r="G21">
        <f t="shared" si="2"/>
        <v>95.827183346680215</v>
      </c>
      <c r="H21">
        <f>I4+I5</f>
        <v>113.72748585385506</v>
      </c>
      <c r="I21">
        <f t="shared" si="3"/>
        <v>118.67977528089891</v>
      </c>
    </row>
    <row r="22" spans="1:9" x14ac:dyDescent="0.25">
      <c r="B22" s="1">
        <v>1875</v>
      </c>
      <c r="C22">
        <f>H4+H5</f>
        <v>117.6</v>
      </c>
      <c r="E22">
        <f>_xlfn.FORECAST.LINEAR(B22,D$17:D$23,B$17:B$23)</f>
        <v>42250</v>
      </c>
      <c r="F22">
        <f>(E22/D$37)*F$37</f>
        <v>103.15418218036739</v>
      </c>
      <c r="G22">
        <f t="shared" si="2"/>
        <v>113.72748585385504</v>
      </c>
      <c r="H22">
        <f>I4+I5</f>
        <v>113.72748585385506</v>
      </c>
      <c r="I22">
        <f t="shared" si="3"/>
        <v>100.00000000000003</v>
      </c>
    </row>
    <row r="23" spans="1:9" x14ac:dyDescent="0.25">
      <c r="B23">
        <v>1880</v>
      </c>
      <c r="C23">
        <f>H4+H5</f>
        <v>117.6</v>
      </c>
      <c r="D23">
        <f>sources_consumption!D10</f>
        <v>43200</v>
      </c>
      <c r="F23">
        <f>(D23/D$37)*F$37</f>
        <v>105.47362532998513</v>
      </c>
      <c r="G23">
        <f t="shared" si="2"/>
        <v>116.28467192630859</v>
      </c>
      <c r="H23">
        <f>I4+I5</f>
        <v>113.72748585385506</v>
      </c>
      <c r="I23">
        <f t="shared" si="3"/>
        <v>97.800925925925938</v>
      </c>
    </row>
    <row r="24" spans="1:9" x14ac:dyDescent="0.25">
      <c r="B24">
        <v>1900</v>
      </c>
      <c r="C24">
        <f>H4+H5</f>
        <v>117.6</v>
      </c>
      <c r="E24">
        <f>_xlfn.FORECAST.LINEAR(B24,D$23:D$25,B$23:B$25)</f>
        <v>39353.066666666651</v>
      </c>
      <c r="F24">
        <f>(E24/D$37)*F$37</f>
        <v>96.081264101526031</v>
      </c>
      <c r="G24">
        <f t="shared" si="2"/>
        <v>105.92959367193245</v>
      </c>
      <c r="H24">
        <f>I4+I5</f>
        <v>113.72748585385506</v>
      </c>
      <c r="I24">
        <f t="shared" si="3"/>
        <v>107.36139157304136</v>
      </c>
    </row>
    <row r="25" spans="1:9" x14ac:dyDescent="0.25">
      <c r="B25">
        <v>1910</v>
      </c>
      <c r="C25">
        <f>H6+H7</f>
        <v>93.8</v>
      </c>
      <c r="D25">
        <f>sources_consumption!D13</f>
        <v>37429.599999999999</v>
      </c>
      <c r="F25">
        <f>(D25/D$37)*F$37</f>
        <v>91.385083487296555</v>
      </c>
      <c r="G25">
        <f t="shared" si="2"/>
        <v>100.75205454474445</v>
      </c>
      <c r="H25">
        <f>I6+I7</f>
        <v>107.25092799043935</v>
      </c>
      <c r="I25">
        <f t="shared" si="3"/>
        <v>106.45036319612591</v>
      </c>
    </row>
    <row r="26" spans="1:9" x14ac:dyDescent="0.25">
      <c r="B26" s="1">
        <v>1928</v>
      </c>
      <c r="C26">
        <f>H6+H7</f>
        <v>93.8</v>
      </c>
      <c r="E26">
        <f>_xlfn.FORECAST.LINEAR(B26,D$25:D$27,B$25:B$27)</f>
        <v>39843.945142857148</v>
      </c>
      <c r="F26">
        <f>(E26/D$37)*F$37</f>
        <v>97.279753279310071</v>
      </c>
      <c r="G26">
        <f t="shared" si="2"/>
        <v>107.25092799043935</v>
      </c>
      <c r="H26">
        <f>I6+I7</f>
        <v>107.25092799043935</v>
      </c>
      <c r="I26">
        <f t="shared" si="3"/>
        <v>100</v>
      </c>
    </row>
    <row r="27" spans="1:9" x14ac:dyDescent="0.25">
      <c r="B27">
        <v>1935</v>
      </c>
      <c r="C27">
        <f>H6+H7</f>
        <v>93.8</v>
      </c>
      <c r="D27">
        <f>sources_consumption!D19</f>
        <v>40782.857142857152</v>
      </c>
      <c r="F27">
        <f>(D27/D$37)*F$37</f>
        <v>99.572124865093116</v>
      </c>
      <c r="G27">
        <f t="shared" si="2"/>
        <v>109.77826766376516</v>
      </c>
      <c r="H27">
        <f>I6+I7</f>
        <v>107.25092799043935</v>
      </c>
      <c r="I27">
        <f t="shared" si="3"/>
        <v>97.697777777777759</v>
      </c>
    </row>
    <row r="28" spans="1:9" x14ac:dyDescent="0.25">
      <c r="B28">
        <v>1945</v>
      </c>
      <c r="C28">
        <f>H8+H9</f>
        <v>55.68</v>
      </c>
      <c r="E28">
        <f>_xlfn.FORECAST.LINEAR(B28,D$27:D$32,B$27:B$32)</f>
        <v>42038.367346938816</v>
      </c>
      <c r="F28">
        <f>(E28/D$37)*F$37</f>
        <v>102.63747701470614</v>
      </c>
      <c r="G28">
        <f t="shared" si="2"/>
        <v>113.15781840871351</v>
      </c>
      <c r="H28">
        <f>I8+I9</f>
        <v>95.238533090498393</v>
      </c>
      <c r="I28">
        <f t="shared" si="3"/>
        <v>84.164341827895043</v>
      </c>
    </row>
    <row r="29" spans="1:9" x14ac:dyDescent="0.25">
      <c r="B29">
        <v>1950</v>
      </c>
      <c r="C29">
        <f>H8+H9</f>
        <v>55.68</v>
      </c>
      <c r="E29">
        <f>_xlfn.FORECAST.LINEAR(B29,D$27:D$32,B$27:B$32)</f>
        <v>42666.122448979644</v>
      </c>
      <c r="F29">
        <f>(E29/D$37)*F$37</f>
        <v>104.17015308951262</v>
      </c>
      <c r="G29">
        <f t="shared" si="2"/>
        <v>114.84759378118767</v>
      </c>
      <c r="H29">
        <f>I8+I9</f>
        <v>95.238533090498393</v>
      </c>
      <c r="I29">
        <f t="shared" si="3"/>
        <v>82.926015212779063</v>
      </c>
    </row>
    <row r="30" spans="1:9" x14ac:dyDescent="0.25">
      <c r="A30" t="s">
        <v>235</v>
      </c>
      <c r="B30" s="1">
        <v>1960</v>
      </c>
      <c r="C30">
        <f>H8+H9+H10</f>
        <v>69.12</v>
      </c>
      <c r="E30">
        <f>_xlfn.FORECAST.LINEAR(B30,D$27:D$32,B$27:B$32)</f>
        <v>43921.632653061271</v>
      </c>
      <c r="F30">
        <f>(E30/D$37)*F$37</f>
        <v>107.23550523912557</v>
      </c>
      <c r="G30">
        <f t="shared" si="2"/>
        <v>118.22714452613594</v>
      </c>
      <c r="H30">
        <f>I8+I9+I10</f>
        <v>102.74343565528034</v>
      </c>
      <c r="I30">
        <f t="shared" si="3"/>
        <v>86.903423124261707</v>
      </c>
    </row>
    <row r="31" spans="1:9" x14ac:dyDescent="0.25">
      <c r="A31" t="s">
        <v>31</v>
      </c>
      <c r="B31" s="1">
        <v>1966</v>
      </c>
      <c r="C31">
        <f>H8+H9+H10+H11</f>
        <v>100.48</v>
      </c>
      <c r="E31">
        <f>_xlfn.FORECAST.LINEAR(B31,D$27:D$32,B$27:B$32)</f>
        <v>44674.938775510236</v>
      </c>
      <c r="F31">
        <f>(E31/D$37)*F$37</f>
        <v>109.0747165288933</v>
      </c>
      <c r="G31">
        <f t="shared" si="2"/>
        <v>120.25487497310488</v>
      </c>
      <c r="H31">
        <f>I8+I9+I10+I11</f>
        <v>214.95244581640202</v>
      </c>
      <c r="I31">
        <f t="shared" si="3"/>
        <v>178.7473862198737</v>
      </c>
    </row>
    <row r="32" spans="1:9" x14ac:dyDescent="0.25">
      <c r="B32">
        <v>1970</v>
      </c>
      <c r="C32">
        <f>H8+H9+H10+H11</f>
        <v>100.48</v>
      </c>
      <c r="D32">
        <f>sources_consumption!D32</f>
        <v>45177.14285714287</v>
      </c>
      <c r="F32">
        <f>(D32/D$37)*F$37</f>
        <v>110.30085738873842</v>
      </c>
      <c r="G32">
        <f t="shared" si="2"/>
        <v>121.60669527108412</v>
      </c>
      <c r="H32">
        <f>I8+I9+I10+I11</f>
        <v>214.95244581640202</v>
      </c>
      <c r="I32">
        <f t="shared" si="3"/>
        <v>176.76037107762258</v>
      </c>
    </row>
    <row r="33" spans="1:9" x14ac:dyDescent="0.25">
      <c r="A33" t="s">
        <v>29</v>
      </c>
      <c r="B33" s="1">
        <v>1975</v>
      </c>
      <c r="C33">
        <f>H10+H11</f>
        <v>44.8</v>
      </c>
      <c r="E33">
        <f>_xlfn.FORECAST.LINEAR(B33,D$32:D$37,B$32:B$37)</f>
        <v>44473.970163809601</v>
      </c>
      <c r="F33">
        <f>(E33/D$37)*F$37</f>
        <v>108.58404782394886</v>
      </c>
      <c r="G33">
        <f t="shared" si="2"/>
        <v>119.71391272590361</v>
      </c>
      <c r="H33">
        <f>I10+I11</f>
        <v>119.71391272590361</v>
      </c>
      <c r="I33">
        <f t="shared" si="3"/>
        <v>100</v>
      </c>
    </row>
    <row r="34" spans="1:9" x14ac:dyDescent="0.25">
      <c r="B34">
        <v>1980</v>
      </c>
      <c r="C34">
        <f>H10+H11</f>
        <v>44.8</v>
      </c>
      <c r="E34">
        <f>_xlfn.FORECAST.LINEAR(B34,D$32:D$37,B$32:B$37)</f>
        <v>43770.797470476246</v>
      </c>
      <c r="F34">
        <f>(E34/D$37)*F$37</f>
        <v>106.86723825915907</v>
      </c>
      <c r="G34">
        <f t="shared" si="2"/>
        <v>117.82113018072288</v>
      </c>
      <c r="H34">
        <f>I10+I11</f>
        <v>119.71391272590361</v>
      </c>
      <c r="I34">
        <f t="shared" si="3"/>
        <v>101.60648819297306</v>
      </c>
    </row>
    <row r="35" spans="1:9" x14ac:dyDescent="0.25">
      <c r="B35">
        <v>1982</v>
      </c>
      <c r="C35">
        <f>H11</f>
        <v>31.36</v>
      </c>
      <c r="E35">
        <f>_xlfn.FORECAST.LINEAR(B35,D$32:D$37,B$32:B$37)</f>
        <v>43489.528393142915</v>
      </c>
      <c r="F35">
        <f>(E35/D$37)*F$37</f>
        <v>106.18051443324319</v>
      </c>
      <c r="G35">
        <f t="shared" si="2"/>
        <v>117.06401716265061</v>
      </c>
      <c r="H35">
        <f>I11</f>
        <v>112.20901016112167</v>
      </c>
      <c r="I35">
        <f t="shared" si="3"/>
        <v>95.852690588275877</v>
      </c>
    </row>
    <row r="36" spans="1:9" x14ac:dyDescent="0.25">
      <c r="A36" t="s">
        <v>30</v>
      </c>
      <c r="B36" s="1">
        <v>1998</v>
      </c>
      <c r="C36">
        <f>H12+H13</f>
        <v>110.25</v>
      </c>
      <c r="E36">
        <f>_xlfn.FORECAST.LINEAR(B36,D$32:D$37,B$32:B$37)</f>
        <v>41239.375774476212</v>
      </c>
      <c r="F36">
        <f>(E36/D$37)*F$37</f>
        <v>100.68672382591595</v>
      </c>
      <c r="G36">
        <f t="shared" si="2"/>
        <v>111.00711301807233</v>
      </c>
      <c r="H36">
        <f>I12+I13</f>
        <v>111.00711301807235</v>
      </c>
      <c r="I36">
        <f t="shared" si="3"/>
        <v>100.00000000000003</v>
      </c>
    </row>
    <row r="37" spans="1:9" x14ac:dyDescent="0.25">
      <c r="A37" t="s">
        <v>149</v>
      </c>
      <c r="B37">
        <v>2000</v>
      </c>
      <c r="C37">
        <f>H12+H13</f>
        <v>110.25</v>
      </c>
      <c r="D37">
        <f>sources_consumption!D39</f>
        <v>40958.106697142859</v>
      </c>
      <c r="F37">
        <v>100</v>
      </c>
      <c r="G37">
        <f t="shared" si="2"/>
        <v>110.25</v>
      </c>
      <c r="H37">
        <f>I12+I13</f>
        <v>111.00711301807235</v>
      </c>
      <c r="I37">
        <f t="shared" si="3"/>
        <v>100.68672382591598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9CC1-8545-4DEA-B454-5C9D10DEA9DB}">
  <dimension ref="A1:I28"/>
  <sheetViews>
    <sheetView workbookViewId="0">
      <selection activeCell="I6" sqref="I6"/>
    </sheetView>
  </sheetViews>
  <sheetFormatPr defaultRowHeight="15" x14ac:dyDescent="0.25"/>
  <cols>
    <col min="1" max="1" width="22.42578125" customWidth="1"/>
    <col min="3" max="3" width="16.42578125" customWidth="1"/>
    <col min="4" max="4" width="18.85546875" customWidth="1"/>
    <col min="5" max="5" width="20.28515625" customWidth="1"/>
    <col min="6" max="6" width="17.85546875" customWidth="1"/>
    <col min="7" max="7" width="18.7109375" customWidth="1"/>
    <col min="8" max="8" width="16.140625" customWidth="1"/>
  </cols>
  <sheetData>
    <row r="1" spans="1:9" x14ac:dyDescent="0.25">
      <c r="A1" s="1" t="s">
        <v>12</v>
      </c>
      <c r="B1" s="1" t="s">
        <v>13</v>
      </c>
      <c r="C1" s="1" t="s">
        <v>14</v>
      </c>
      <c r="D1" s="1" t="s">
        <v>15</v>
      </c>
      <c r="E1" s="1" t="s">
        <v>17</v>
      </c>
      <c r="F1" s="1" t="s">
        <v>18</v>
      </c>
      <c r="G1" s="1" t="s">
        <v>19</v>
      </c>
      <c r="H1" s="1" t="s">
        <v>20</v>
      </c>
      <c r="I1" s="1" t="s">
        <v>106</v>
      </c>
    </row>
    <row r="2" spans="1:9" x14ac:dyDescent="0.25">
      <c r="A2" t="s">
        <v>77</v>
      </c>
      <c r="B2">
        <v>1750</v>
      </c>
      <c r="C2">
        <v>1840</v>
      </c>
      <c r="D2">
        <f xml:space="preserve"> (B2+C2)/2</f>
        <v>1795</v>
      </c>
      <c r="E2">
        <v>42</v>
      </c>
      <c r="F2">
        <v>5</v>
      </c>
      <c r="G2">
        <v>100</v>
      </c>
      <c r="H2">
        <f xml:space="preserve"> E2*F2*G2/100</f>
        <v>210</v>
      </c>
      <c r="I2">
        <f>(G13/C13)*H2</f>
        <v>68.869415250000003</v>
      </c>
    </row>
    <row r="3" spans="1:9" x14ac:dyDescent="0.25">
      <c r="A3" t="s">
        <v>78</v>
      </c>
      <c r="B3">
        <v>1841</v>
      </c>
      <c r="C3">
        <v>1910</v>
      </c>
      <c r="D3">
        <f t="shared" ref="D3:D5" si="0" xml:space="preserve"> (B3+C3)/2</f>
        <v>1875.5</v>
      </c>
      <c r="E3">
        <v>21</v>
      </c>
      <c r="F3">
        <v>10</v>
      </c>
      <c r="G3">
        <v>100</v>
      </c>
      <c r="H3">
        <f t="shared" ref="H3:H5" si="1" xml:space="preserve"> E3*F3*G3/100</f>
        <v>210</v>
      </c>
      <c r="I3">
        <f>(G16/C16)*H3</f>
        <v>125.11277601988633</v>
      </c>
    </row>
    <row r="4" spans="1:9" x14ac:dyDescent="0.25">
      <c r="A4" t="s">
        <v>79</v>
      </c>
      <c r="B4">
        <v>1911</v>
      </c>
      <c r="C4">
        <v>1945</v>
      </c>
      <c r="D4">
        <f t="shared" si="0"/>
        <v>1928</v>
      </c>
      <c r="E4">
        <v>15</v>
      </c>
      <c r="F4">
        <v>15</v>
      </c>
      <c r="G4">
        <v>100</v>
      </c>
      <c r="H4">
        <f t="shared" si="1"/>
        <v>225</v>
      </c>
      <c r="I4">
        <f>(G19/C19)*H4</f>
        <v>220.11978203474021</v>
      </c>
    </row>
    <row r="5" spans="1:9" x14ac:dyDescent="0.25">
      <c r="A5" t="s">
        <v>31</v>
      </c>
      <c r="B5">
        <v>1950</v>
      </c>
      <c r="C5">
        <v>1975</v>
      </c>
      <c r="D5">
        <f t="shared" si="0"/>
        <v>1962.5</v>
      </c>
      <c r="E5">
        <f>dist_calculations!$B$37</f>
        <v>12</v>
      </c>
      <c r="F5">
        <v>7</v>
      </c>
      <c r="G5">
        <v>14</v>
      </c>
      <c r="H5">
        <f t="shared" si="1"/>
        <v>11.76</v>
      </c>
      <c r="I5">
        <f>((G22-I6)/(C22-H6))*H5</f>
        <v>17.686068336097772</v>
      </c>
    </row>
    <row r="6" spans="1:9" x14ac:dyDescent="0.25">
      <c r="A6" t="s">
        <v>29</v>
      </c>
      <c r="B6">
        <v>1960</v>
      </c>
      <c r="C6">
        <v>1990</v>
      </c>
      <c r="D6">
        <f xml:space="preserve"> (B6+C6)/2</f>
        <v>1975</v>
      </c>
      <c r="E6">
        <v>14</v>
      </c>
      <c r="F6">
        <v>14</v>
      </c>
      <c r="G6">
        <v>14</v>
      </c>
      <c r="H6">
        <f xml:space="preserve"> E6*F6*G6/100</f>
        <v>27.44</v>
      </c>
      <c r="I6">
        <f>((G24)/(C24))*H6</f>
        <v>288.825012453976</v>
      </c>
    </row>
    <row r="7" spans="1:9" x14ac:dyDescent="0.25">
      <c r="A7" t="s">
        <v>154</v>
      </c>
      <c r="B7">
        <v>1975</v>
      </c>
      <c r="C7">
        <v>2010</v>
      </c>
      <c r="D7">
        <f xml:space="preserve"> (B7+C7)/2</f>
        <v>1992.5</v>
      </c>
      <c r="E7">
        <v>2</v>
      </c>
      <c r="F7">
        <v>8</v>
      </c>
      <c r="G7">
        <v>18</v>
      </c>
      <c r="H7">
        <f xml:space="preserve"> E7*F7*G7/100</f>
        <v>2.88</v>
      </c>
      <c r="I7">
        <f>((G26-I8-I9)/(C26-H8-H9))*H7</f>
        <v>16.869361903246812</v>
      </c>
    </row>
    <row r="8" spans="1:9" x14ac:dyDescent="0.25">
      <c r="A8" t="s">
        <v>149</v>
      </c>
      <c r="B8">
        <v>1990</v>
      </c>
      <c r="C8">
        <v>2010</v>
      </c>
      <c r="D8">
        <f t="shared" ref="D8" si="2" xml:space="preserve"> (B8+C8)/2</f>
        <v>2000</v>
      </c>
      <c r="E8">
        <f>dist_calculations!E44</f>
        <v>15</v>
      </c>
      <c r="F8">
        <v>7</v>
      </c>
      <c r="G8">
        <v>79</v>
      </c>
      <c r="H8">
        <f xml:space="preserve"> E8*F8*G8/100</f>
        <v>82.95</v>
      </c>
      <c r="I8">
        <f>(G28/C28)*H8</f>
        <v>82.95</v>
      </c>
    </row>
    <row r="9" spans="1:9" x14ac:dyDescent="0.25">
      <c r="A9" t="s">
        <v>30</v>
      </c>
      <c r="B9">
        <v>1985</v>
      </c>
      <c r="C9">
        <v>2010</v>
      </c>
      <c r="D9">
        <f xml:space="preserve"> (B9+C9)/2</f>
        <v>1997.5</v>
      </c>
      <c r="E9">
        <f>dist_calculations!E45</f>
        <v>10</v>
      </c>
      <c r="F9">
        <v>21</v>
      </c>
      <c r="G9">
        <v>79</v>
      </c>
      <c r="H9">
        <f xml:space="preserve"> E9*F9*G9/100</f>
        <v>165.9</v>
      </c>
      <c r="I9">
        <f>((G27-I8)/(C27-H8))*H9</f>
        <v>171.52312063441536</v>
      </c>
    </row>
    <row r="10" spans="1:9" x14ac:dyDescent="0.25">
      <c r="B10" s="1" t="s">
        <v>28</v>
      </c>
    </row>
    <row r="11" spans="1:9" x14ac:dyDescent="0.25">
      <c r="B11" s="1" t="s">
        <v>0</v>
      </c>
      <c r="C11" s="1" t="s">
        <v>115</v>
      </c>
      <c r="D11" s="1" t="s">
        <v>38</v>
      </c>
      <c r="E11" s="1" t="s">
        <v>39</v>
      </c>
      <c r="F11" s="1" t="s">
        <v>40</v>
      </c>
      <c r="G11" s="1" t="s">
        <v>41</v>
      </c>
      <c r="H11" s="1" t="s">
        <v>107</v>
      </c>
      <c r="I11" s="1" t="s">
        <v>245</v>
      </c>
    </row>
    <row r="12" spans="1:9" x14ac:dyDescent="0.25">
      <c r="B12">
        <v>1750</v>
      </c>
      <c r="C12">
        <f>H2</f>
        <v>210</v>
      </c>
      <c r="H12">
        <f>I2</f>
        <v>68.869415250000003</v>
      </c>
    </row>
    <row r="13" spans="1:9" x14ac:dyDescent="0.25">
      <c r="B13" s="1">
        <v>1800</v>
      </c>
      <c r="C13">
        <f>H2</f>
        <v>210</v>
      </c>
      <c r="D13">
        <f>sources_consumption!D6</f>
        <v>24051.098315200004</v>
      </c>
      <c r="F13">
        <f>(D13/D$28)*F$28</f>
        <v>27.675071428571428</v>
      </c>
      <c r="G13">
        <f t="shared" ref="G13:G28" si="3">(F13/F$28)*C$28</f>
        <v>68.869415250000003</v>
      </c>
      <c r="H13">
        <f>I2</f>
        <v>68.869415250000003</v>
      </c>
      <c r="I13">
        <f t="shared" ref="I13:I28" si="4">(H13/G13)*100</f>
        <v>100</v>
      </c>
    </row>
    <row r="14" spans="1:9" x14ac:dyDescent="0.25">
      <c r="B14">
        <v>1820</v>
      </c>
      <c r="C14">
        <f>H2</f>
        <v>210</v>
      </c>
      <c r="E14">
        <f>_xlfn.FORECAST.LINEAR(B14,D$13:D$15,B$13:B$15)</f>
        <v>21485.647677760018</v>
      </c>
      <c r="F14">
        <f>(E14/D$28)*F$28</f>
        <v>24.723063636363655</v>
      </c>
      <c r="G14">
        <f t="shared" si="3"/>
        <v>61.523343859090957</v>
      </c>
      <c r="H14">
        <f>I2</f>
        <v>68.869415250000003</v>
      </c>
      <c r="I14">
        <f t="shared" si="4"/>
        <v>111.94029929149171</v>
      </c>
    </row>
    <row r="15" spans="1:9" x14ac:dyDescent="0.25">
      <c r="B15">
        <v>1850</v>
      </c>
      <c r="D15">
        <f>sources_consumption!D7</f>
        <v>17637.471721600003</v>
      </c>
      <c r="F15">
        <f>(D15/D$28)*F$28</f>
        <v>20.295051948051949</v>
      </c>
      <c r="G15">
        <f t="shared" si="3"/>
        <v>50.504236772727275</v>
      </c>
      <c r="H15">
        <f>I3</f>
        <v>125.11277601988633</v>
      </c>
      <c r="I15">
        <f t="shared" si="4"/>
        <v>247.72728787666443</v>
      </c>
    </row>
    <row r="16" spans="1:9" x14ac:dyDescent="0.25">
      <c r="B16" s="1">
        <v>1875</v>
      </c>
      <c r="C16">
        <f>H3</f>
        <v>210</v>
      </c>
      <c r="E16">
        <f>_xlfn.FORECAST.LINEAR(B16,D$15:D$18,B$15:B$18)</f>
        <v>43692.830345933326</v>
      </c>
      <c r="F16">
        <f>(E16/D$28)*F$28</f>
        <v>50.276381764069242</v>
      </c>
      <c r="G16">
        <f t="shared" si="3"/>
        <v>125.11277601988633</v>
      </c>
      <c r="H16">
        <f>I3</f>
        <v>125.11277601988633</v>
      </c>
      <c r="I16">
        <f t="shared" si="4"/>
        <v>100</v>
      </c>
    </row>
    <row r="17" spans="2:9" x14ac:dyDescent="0.25">
      <c r="B17">
        <v>1900</v>
      </c>
      <c r="C17">
        <f>H3</f>
        <v>210</v>
      </c>
      <c r="E17">
        <f>_xlfn.FORECAST.LINEAR(B17,D$15:D$18,B$15:B$18)</f>
        <v>69748.188970266841</v>
      </c>
      <c r="F17">
        <f>(E17/D$28)*F$28</f>
        <v>80.257711580086763</v>
      </c>
      <c r="G17">
        <f t="shared" si="3"/>
        <v>199.72131526704592</v>
      </c>
      <c r="H17">
        <f>I3</f>
        <v>125.11277601988633</v>
      </c>
      <c r="I17">
        <f t="shared" si="4"/>
        <v>62.643677192190992</v>
      </c>
    </row>
    <row r="18" spans="2:9" x14ac:dyDescent="0.25">
      <c r="B18">
        <v>1910</v>
      </c>
      <c r="C18">
        <f>H4</f>
        <v>225</v>
      </c>
      <c r="D18">
        <f>sources_consumption!D18</f>
        <v>80170.332420000006</v>
      </c>
      <c r="F18">
        <f>(D18/D$28)*F$28</f>
        <v>92.250243506493504</v>
      </c>
      <c r="G18">
        <f t="shared" si="3"/>
        <v>229.56473096590909</v>
      </c>
      <c r="H18">
        <f>I4</f>
        <v>220.11978203474021</v>
      </c>
      <c r="I18">
        <f t="shared" si="4"/>
        <v>95.885714285714258</v>
      </c>
    </row>
    <row r="19" spans="2:9" x14ac:dyDescent="0.25">
      <c r="B19" s="1">
        <v>1928</v>
      </c>
      <c r="C19">
        <f>H4</f>
        <v>225</v>
      </c>
      <c r="E19">
        <f>_xlfn.FORECAST.LINEAR(B19,D$18:D$20,B$18:B$20)</f>
        <v>76871.895886148559</v>
      </c>
      <c r="F19">
        <f>(E19/D$28)*F$28</f>
        <v>88.454804916512032</v>
      </c>
      <c r="G19">
        <f t="shared" si="3"/>
        <v>220.11978203474021</v>
      </c>
      <c r="H19">
        <f>I4</f>
        <v>220.11978203474021</v>
      </c>
      <c r="I19">
        <f t="shared" si="4"/>
        <v>100</v>
      </c>
    </row>
    <row r="20" spans="2:9" x14ac:dyDescent="0.25">
      <c r="B20">
        <v>1935</v>
      </c>
      <c r="C20">
        <f>H4</f>
        <v>225</v>
      </c>
      <c r="D20">
        <f>sources_consumption!D24</f>
        <v>75589.170567428562</v>
      </c>
      <c r="F20">
        <f>(D20/D$28)*F$28</f>
        <v>86.978801020408142</v>
      </c>
      <c r="G20">
        <f t="shared" si="3"/>
        <v>216.44674633928565</v>
      </c>
      <c r="H20">
        <f>I4</f>
        <v>220.11978203474021</v>
      </c>
      <c r="I20">
        <f t="shared" si="4"/>
        <v>101.6969696969697</v>
      </c>
    </row>
    <row r="21" spans="2:9" x14ac:dyDescent="0.25">
      <c r="B21">
        <v>1960</v>
      </c>
      <c r="C21">
        <f>H6+H5</f>
        <v>39.200000000000003</v>
      </c>
      <c r="E21">
        <f>_xlfn.FORECAST.LINEAR(B21,D$20:D$23,B$20:B$23)</f>
        <v>104712.27091591852</v>
      </c>
      <c r="F21">
        <f>(E21/D$28)*F$28</f>
        <v>120.49011396766514</v>
      </c>
      <c r="G21">
        <f t="shared" si="3"/>
        <v>299.83964860853473</v>
      </c>
      <c r="H21">
        <f>I5+I6</f>
        <v>306.51108079007378</v>
      </c>
      <c r="I21">
        <f t="shared" si="4"/>
        <v>102.22499999999972</v>
      </c>
    </row>
    <row r="22" spans="2:9" x14ac:dyDescent="0.25">
      <c r="B22" s="1">
        <v>1962</v>
      </c>
      <c r="C22">
        <f>H6+H5</f>
        <v>39.200000000000003</v>
      </c>
      <c r="E22">
        <f>_xlfn.FORECAST.LINEAR(B22,D$20:D$23,B$20:B$23)</f>
        <v>107042.11894379742</v>
      </c>
      <c r="F22">
        <f>(E22/D$28)*F$28</f>
        <v>123.17101900344537</v>
      </c>
      <c r="G22">
        <f t="shared" si="3"/>
        <v>306.51108079007378</v>
      </c>
      <c r="H22">
        <f>I5+I6</f>
        <v>306.51108079007378</v>
      </c>
      <c r="I22">
        <f t="shared" si="4"/>
        <v>100</v>
      </c>
    </row>
    <row r="23" spans="2:9" x14ac:dyDescent="0.25">
      <c r="B23">
        <v>1970</v>
      </c>
      <c r="C23">
        <f>H6</f>
        <v>27.44</v>
      </c>
      <c r="D23">
        <f>sources_consumption!D37</f>
        <v>116361.51105531432</v>
      </c>
      <c r="F23">
        <f>(D23/D$28)*F$28</f>
        <v>133.89463914656773</v>
      </c>
      <c r="G23">
        <f t="shared" si="3"/>
        <v>333.19680951623377</v>
      </c>
      <c r="H23">
        <f>I5+I6</f>
        <v>306.51108079007378</v>
      </c>
      <c r="I23">
        <f t="shared" si="4"/>
        <v>91.991001124859267</v>
      </c>
    </row>
    <row r="24" spans="2:9" x14ac:dyDescent="0.25">
      <c r="B24" s="1">
        <v>1975</v>
      </c>
      <c r="C24">
        <f>H6+H7</f>
        <v>30.32</v>
      </c>
      <c r="E24">
        <f>_xlfn.FORECAST.LINEAR(B24,D$23:D$28,B$23:B$28)</f>
        <v>111452.13921276201</v>
      </c>
      <c r="F24">
        <f>(E24/D$28)*F$28</f>
        <v>128.24553262213988</v>
      </c>
      <c r="G24">
        <f t="shared" si="3"/>
        <v>319.13900793019508</v>
      </c>
      <c r="H24">
        <f>I6</f>
        <v>288.825012453976</v>
      </c>
      <c r="I24">
        <f t="shared" si="4"/>
        <v>90.501319261213723</v>
      </c>
    </row>
    <row r="25" spans="2:9" x14ac:dyDescent="0.25">
      <c r="B25">
        <v>1985</v>
      </c>
      <c r="C25">
        <f>H6+H7+H9</f>
        <v>196.22</v>
      </c>
      <c r="E25">
        <f>_xlfn.FORECAST.LINEAR(B25,D$23:D$28,B$23:B$28)</f>
        <v>101633.39552765712</v>
      </c>
      <c r="F25">
        <f>(E25/D$28)*F$28</f>
        <v>116.94731957328382</v>
      </c>
      <c r="G25">
        <f t="shared" si="3"/>
        <v>291.02340475811678</v>
      </c>
      <c r="H25">
        <f>I6+I9</f>
        <v>460.34813308839136</v>
      </c>
      <c r="I25">
        <f t="shared" si="4"/>
        <v>158.18251232096205</v>
      </c>
    </row>
    <row r="26" spans="2:9" x14ac:dyDescent="0.25">
      <c r="B26" s="1">
        <v>1992</v>
      </c>
      <c r="C26">
        <f>H7+H8+H9</f>
        <v>251.73000000000002</v>
      </c>
      <c r="E26">
        <f>_xlfn.FORECAST.LINEAR(B26,D$23:D$28,B$23:B$28)</f>
        <v>94760.274948083796</v>
      </c>
      <c r="F26">
        <f>(E26/D$28)*F$28</f>
        <v>109.03857043908469</v>
      </c>
      <c r="G26">
        <f t="shared" si="3"/>
        <v>271.34248253766231</v>
      </c>
      <c r="H26">
        <f>I7+I8+I9</f>
        <v>271.34248253766219</v>
      </c>
      <c r="I26">
        <f t="shared" si="4"/>
        <v>99.999999999999957</v>
      </c>
    </row>
    <row r="27" spans="2:9" x14ac:dyDescent="0.25">
      <c r="B27" s="1">
        <v>1998</v>
      </c>
      <c r="C27">
        <f>H8+H9</f>
        <v>248.85000000000002</v>
      </c>
      <c r="E27">
        <f>_xlfn.FORECAST.LINEAR(B27,D$23:D$28,B$23:B$28)</f>
        <v>88869.028737020912</v>
      </c>
      <c r="F27">
        <f>(E27/D$28)*F$28</f>
        <v>102.25964260977112</v>
      </c>
      <c r="G27">
        <f t="shared" si="3"/>
        <v>254.47312063441544</v>
      </c>
      <c r="H27">
        <f>I8+I9</f>
        <v>254.47312063441535</v>
      </c>
      <c r="I27">
        <f t="shared" si="4"/>
        <v>99.999999999999972</v>
      </c>
    </row>
    <row r="28" spans="2:9" x14ac:dyDescent="0.25">
      <c r="B28" s="1">
        <v>2000</v>
      </c>
      <c r="C28">
        <f>H8+H9</f>
        <v>248.85000000000002</v>
      </c>
      <c r="D28">
        <f>sources_consumption!D44</f>
        <v>86905.280000000013</v>
      </c>
      <c r="F28">
        <v>100</v>
      </c>
      <c r="G28">
        <f t="shared" si="3"/>
        <v>248.85000000000002</v>
      </c>
      <c r="H28">
        <f>I8+I9</f>
        <v>254.47312063441535</v>
      </c>
      <c r="I28">
        <f t="shared" si="4"/>
        <v>102.25964260977108</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E41EE-A77B-4862-8A6B-F95E97843B66}">
  <dimension ref="A1:I39"/>
  <sheetViews>
    <sheetView workbookViewId="0">
      <selection activeCell="E9" sqref="E9"/>
    </sheetView>
  </sheetViews>
  <sheetFormatPr defaultRowHeight="15" x14ac:dyDescent="0.25"/>
  <cols>
    <col min="1" max="1" width="16.7109375" customWidth="1"/>
    <col min="2" max="2" width="9.7109375" customWidth="1"/>
    <col min="3" max="3" width="24.7109375" customWidth="1"/>
    <col min="4" max="4" width="19.140625" customWidth="1"/>
    <col min="5" max="5" width="21.42578125" customWidth="1"/>
    <col min="6" max="6" width="17.85546875" customWidth="1"/>
    <col min="7" max="7" width="18.140625" customWidth="1"/>
    <col min="8" max="8" width="16.5703125" customWidth="1"/>
  </cols>
  <sheetData>
    <row r="1" spans="1:9" x14ac:dyDescent="0.25">
      <c r="A1" s="1" t="s">
        <v>12</v>
      </c>
      <c r="B1" s="1" t="s">
        <v>13</v>
      </c>
      <c r="C1" s="1" t="s">
        <v>14</v>
      </c>
      <c r="D1" s="1" t="s">
        <v>15</v>
      </c>
      <c r="E1" s="1" t="s">
        <v>17</v>
      </c>
      <c r="F1" s="1" t="s">
        <v>18</v>
      </c>
      <c r="G1" s="1" t="s">
        <v>19</v>
      </c>
      <c r="H1" s="1" t="s">
        <v>20</v>
      </c>
      <c r="I1" s="1" t="s">
        <v>106</v>
      </c>
    </row>
    <row r="2" spans="1:9" x14ac:dyDescent="0.25">
      <c r="A2" t="s">
        <v>16</v>
      </c>
      <c r="B2">
        <v>1750</v>
      </c>
      <c r="C2">
        <v>1840</v>
      </c>
      <c r="D2">
        <f xml:space="preserve"> (B2+C2)/2</f>
        <v>1795</v>
      </c>
      <c r="E2">
        <v>75</v>
      </c>
      <c r="F2">
        <v>4</v>
      </c>
      <c r="G2">
        <v>3</v>
      </c>
      <c r="H2">
        <f xml:space="preserve"> E2*F2*G2/100</f>
        <v>9</v>
      </c>
      <c r="I2">
        <f>(G18/C18)*H2</f>
        <v>23.446291081078762</v>
      </c>
    </row>
    <row r="3" spans="1:9" x14ac:dyDescent="0.25">
      <c r="A3" t="s">
        <v>49</v>
      </c>
      <c r="B3">
        <v>1818</v>
      </c>
      <c r="C3">
        <v>1840</v>
      </c>
      <c r="D3">
        <f t="shared" ref="D3:D13" si="0" xml:space="preserve"> (B3+C3)/2</f>
        <v>1829</v>
      </c>
      <c r="E3">
        <v>2</v>
      </c>
      <c r="F3">
        <v>2</v>
      </c>
      <c r="G3">
        <v>100</v>
      </c>
      <c r="H3">
        <f t="shared" ref="H3:H13" si="1" xml:space="preserve"> E3*F3*G3/100</f>
        <v>4</v>
      </c>
      <c r="I3">
        <f>(G20-I2)</f>
        <v>5.3163101869888258</v>
      </c>
    </row>
    <row r="4" spans="1:9" x14ac:dyDescent="0.25">
      <c r="A4" t="s">
        <v>22</v>
      </c>
      <c r="B4">
        <v>1841</v>
      </c>
      <c r="C4">
        <v>1910</v>
      </c>
      <c r="D4">
        <f t="shared" si="0"/>
        <v>1875.5</v>
      </c>
      <c r="E4">
        <v>45</v>
      </c>
      <c r="F4">
        <v>8</v>
      </c>
      <c r="G4">
        <v>3</v>
      </c>
      <c r="H4">
        <f t="shared" si="1"/>
        <v>10.8</v>
      </c>
      <c r="I4">
        <f>(G23/C23)*H4</f>
        <v>19.075015323285989</v>
      </c>
    </row>
    <row r="5" spans="1:9" x14ac:dyDescent="0.25">
      <c r="A5" t="s">
        <v>50</v>
      </c>
      <c r="B5">
        <v>1841</v>
      </c>
      <c r="C5">
        <v>1910</v>
      </c>
      <c r="D5">
        <f t="shared" si="0"/>
        <v>1875.5</v>
      </c>
      <c r="E5">
        <v>2</v>
      </c>
      <c r="F5">
        <v>5</v>
      </c>
      <c r="G5">
        <v>100</v>
      </c>
      <c r="H5">
        <f t="shared" si="1"/>
        <v>10</v>
      </c>
      <c r="I5">
        <f>(G23/C23)*H5</f>
        <v>17.662051225264804</v>
      </c>
    </row>
    <row r="6" spans="1:9" x14ac:dyDescent="0.25">
      <c r="A6" t="s">
        <v>26</v>
      </c>
      <c r="B6">
        <v>1911</v>
      </c>
      <c r="C6">
        <v>1945</v>
      </c>
      <c r="D6">
        <f t="shared" si="0"/>
        <v>1928</v>
      </c>
      <c r="E6">
        <v>10</v>
      </c>
      <c r="F6">
        <v>8</v>
      </c>
      <c r="G6">
        <v>3</v>
      </c>
      <c r="H6">
        <f t="shared" si="1"/>
        <v>2.4</v>
      </c>
      <c r="I6">
        <f>(G27/C27)*H6</f>
        <v>3.4169788552269935</v>
      </c>
    </row>
    <row r="7" spans="1:9" x14ac:dyDescent="0.25">
      <c r="A7" t="s">
        <v>51</v>
      </c>
      <c r="B7">
        <v>1911</v>
      </c>
      <c r="C7">
        <v>1945</v>
      </c>
      <c r="D7">
        <f xml:space="preserve"> (B7+C7)/2</f>
        <v>1928</v>
      </c>
      <c r="E7">
        <v>3</v>
      </c>
      <c r="F7">
        <v>10</v>
      </c>
      <c r="G7">
        <v>100</v>
      </c>
      <c r="H7">
        <f t="shared" si="1"/>
        <v>30</v>
      </c>
      <c r="I7">
        <f>(G27/C27)*H7</f>
        <v>42.712235690337423</v>
      </c>
    </row>
    <row r="8" spans="1:9" x14ac:dyDescent="0.25">
      <c r="A8" t="s">
        <v>27</v>
      </c>
      <c r="B8">
        <v>1946</v>
      </c>
      <c r="C8">
        <v>1975</v>
      </c>
      <c r="D8">
        <f t="shared" si="0"/>
        <v>1960.5</v>
      </c>
      <c r="E8">
        <v>4</v>
      </c>
      <c r="F8">
        <v>12</v>
      </c>
      <c r="G8">
        <v>3</v>
      </c>
      <c r="H8">
        <f t="shared" si="1"/>
        <v>1.44</v>
      </c>
      <c r="I8">
        <f>((G$31-I9)/(C$31-H9))*H8</f>
        <v>5.5580668335967118</v>
      </c>
    </row>
    <row r="9" spans="1:9" x14ac:dyDescent="0.25">
      <c r="A9" t="s">
        <v>52</v>
      </c>
      <c r="B9">
        <v>1946</v>
      </c>
      <c r="C9">
        <v>2010</v>
      </c>
      <c r="D9">
        <f t="shared" si="0"/>
        <v>1978</v>
      </c>
      <c r="E9">
        <v>1</v>
      </c>
      <c r="F9">
        <v>15</v>
      </c>
      <c r="G9">
        <v>100</v>
      </c>
      <c r="H9">
        <f t="shared" si="1"/>
        <v>15</v>
      </c>
      <c r="I9">
        <f>((G$35-I11-I10)/(C$35-H10-H11))*H9</f>
        <v>20.780676124741628</v>
      </c>
    </row>
    <row r="10" spans="1:9" x14ac:dyDescent="0.25">
      <c r="A10" t="s">
        <v>31</v>
      </c>
      <c r="B10">
        <v>1950</v>
      </c>
      <c r="C10">
        <v>1982</v>
      </c>
      <c r="D10">
        <f t="shared" si="0"/>
        <v>1966</v>
      </c>
      <c r="E10">
        <f>dist_calculations!$B$37</f>
        <v>12</v>
      </c>
      <c r="F10">
        <v>7</v>
      </c>
      <c r="G10">
        <v>3</v>
      </c>
      <c r="H10">
        <f t="shared" si="1"/>
        <v>2.52</v>
      </c>
      <c r="I10">
        <f>((G32-I11)/(C32-H11))*H10</f>
        <v>3.3662851124201549</v>
      </c>
    </row>
    <row r="11" spans="1:9" x14ac:dyDescent="0.25">
      <c r="A11" t="s">
        <v>29</v>
      </c>
      <c r="B11">
        <v>1960</v>
      </c>
      <c r="C11">
        <v>1990</v>
      </c>
      <c r="D11">
        <f t="shared" si="0"/>
        <v>1975</v>
      </c>
      <c r="E11">
        <v>14</v>
      </c>
      <c r="F11">
        <v>14</v>
      </c>
      <c r="G11">
        <v>3</v>
      </c>
      <c r="H11">
        <f t="shared" si="1"/>
        <v>5.88</v>
      </c>
      <c r="I11">
        <f>((G34)/(C34))*H11</f>
        <v>8.0250334471527562</v>
      </c>
    </row>
    <row r="12" spans="1:9" x14ac:dyDescent="0.25">
      <c r="A12" t="s">
        <v>149</v>
      </c>
      <c r="B12">
        <v>1990</v>
      </c>
      <c r="C12">
        <v>2010</v>
      </c>
      <c r="D12">
        <f t="shared" si="0"/>
        <v>2000</v>
      </c>
      <c r="E12">
        <f>dist_calculations!E$44</f>
        <v>15</v>
      </c>
      <c r="F12">
        <v>7</v>
      </c>
      <c r="G12">
        <v>6</v>
      </c>
      <c r="H12">
        <f t="shared" si="1"/>
        <v>6.3</v>
      </c>
      <c r="I12">
        <f>((G39)/(C39))*H12</f>
        <v>6.3</v>
      </c>
    </row>
    <row r="13" spans="1:9" x14ac:dyDescent="0.25">
      <c r="A13" t="s">
        <v>30</v>
      </c>
      <c r="B13">
        <v>1985</v>
      </c>
      <c r="C13">
        <v>2010</v>
      </c>
      <c r="D13">
        <f t="shared" si="0"/>
        <v>1997.5</v>
      </c>
      <c r="E13">
        <f>dist_calculations!E$45</f>
        <v>10</v>
      </c>
      <c r="F13">
        <v>21</v>
      </c>
      <c r="G13">
        <v>6</v>
      </c>
      <c r="H13">
        <f t="shared" si="1"/>
        <v>12.6</v>
      </c>
      <c r="I13">
        <f>((G38)/(C38))*H13</f>
        <v>12.541612048866625</v>
      </c>
    </row>
    <row r="15" spans="1:9" x14ac:dyDescent="0.25">
      <c r="B15" s="11" t="s">
        <v>28</v>
      </c>
      <c r="C15" s="11"/>
      <c r="D15" s="11"/>
      <c r="E15" s="11"/>
      <c r="F15" s="11"/>
      <c r="G15" s="11"/>
    </row>
    <row r="16" spans="1:9" x14ac:dyDescent="0.25">
      <c r="B16" s="1" t="s">
        <v>0</v>
      </c>
      <c r="C16" s="1" t="s">
        <v>37</v>
      </c>
      <c r="D16" s="1" t="s">
        <v>38</v>
      </c>
      <c r="E16" s="1" t="s">
        <v>39</v>
      </c>
      <c r="F16" s="1" t="s">
        <v>40</v>
      </c>
      <c r="G16" s="1" t="s">
        <v>41</v>
      </c>
      <c r="H16" s="1" t="s">
        <v>107</v>
      </c>
      <c r="I16" s="1" t="s">
        <v>245</v>
      </c>
    </row>
    <row r="17" spans="2:9" x14ac:dyDescent="0.25">
      <c r="B17">
        <v>1750</v>
      </c>
      <c r="C17">
        <f>H2</f>
        <v>9</v>
      </c>
      <c r="E17">
        <f>_xlfn.FORECAST.LINEAR(B17,D$25:D$28,B$25:B$28)</f>
        <v>2827.245714285702</v>
      </c>
      <c r="F17">
        <f t="shared" ref="F17:F24" si="2">(E17/D$39)*100</f>
        <v>43.025882309038614</v>
      </c>
      <c r="G17">
        <f t="shared" ref="G17:G38" si="3">(F17/F$39)*C$39</f>
        <v>14.585774102764089</v>
      </c>
    </row>
    <row r="18" spans="2:9" x14ac:dyDescent="0.25">
      <c r="B18" s="1">
        <v>1800</v>
      </c>
      <c r="C18">
        <f>H2</f>
        <v>9</v>
      </c>
      <c r="E18">
        <f t="shared" ref="E18:E24" si="4">_xlfn.FORECAST.LINEAR(B18,D$17:D$28,B$17:B$28)</f>
        <v>4544.7314285714165</v>
      </c>
      <c r="F18">
        <f t="shared" si="2"/>
        <v>69.163100534155646</v>
      </c>
      <c r="G18">
        <f t="shared" si="3"/>
        <v>23.446291081078762</v>
      </c>
      <c r="H18">
        <f>I2</f>
        <v>23.446291081078762</v>
      </c>
      <c r="I18">
        <f>(H18/G18)*100</f>
        <v>100</v>
      </c>
    </row>
    <row r="19" spans="2:9" x14ac:dyDescent="0.25">
      <c r="B19">
        <v>1818</v>
      </c>
      <c r="C19">
        <f>H2+H3</f>
        <v>13</v>
      </c>
      <c r="E19">
        <f t="shared" si="4"/>
        <v>5163.0262857142734</v>
      </c>
      <c r="F19">
        <f t="shared" si="2"/>
        <v>78.572499095197784</v>
      </c>
      <c r="G19">
        <f t="shared" si="3"/>
        <v>26.636077193272051</v>
      </c>
    </row>
    <row r="20" spans="2:9" x14ac:dyDescent="0.25">
      <c r="B20" s="1">
        <v>1830</v>
      </c>
      <c r="C20">
        <f>H2+H3</f>
        <v>13</v>
      </c>
      <c r="E20">
        <f t="shared" si="4"/>
        <v>5575.2228571428495</v>
      </c>
      <c r="F20">
        <f t="shared" si="2"/>
        <v>84.845431469225929</v>
      </c>
      <c r="G20">
        <f t="shared" si="3"/>
        <v>28.762601268067588</v>
      </c>
      <c r="H20">
        <f>I2+I3</f>
        <v>28.762601268067588</v>
      </c>
      <c r="I20">
        <f>(H20/G20)*100</f>
        <v>100</v>
      </c>
    </row>
    <row r="21" spans="2:9" x14ac:dyDescent="0.25">
      <c r="B21">
        <v>1840</v>
      </c>
      <c r="C21">
        <f>H2+H3</f>
        <v>13</v>
      </c>
      <c r="E21">
        <f t="shared" si="4"/>
        <v>5918.7199999999939</v>
      </c>
      <c r="F21">
        <f t="shared" si="2"/>
        <v>90.072875114249356</v>
      </c>
      <c r="G21">
        <f t="shared" si="3"/>
        <v>30.53470466373053</v>
      </c>
    </row>
    <row r="22" spans="2:9" x14ac:dyDescent="0.25">
      <c r="B22">
        <v>1841</v>
      </c>
      <c r="C22">
        <f>H4+H5</f>
        <v>20.8</v>
      </c>
      <c r="E22">
        <f t="shared" si="4"/>
        <v>5953.0697142857025</v>
      </c>
      <c r="F22">
        <f t="shared" si="2"/>
        <v>90.595619478751615</v>
      </c>
      <c r="G22">
        <f t="shared" si="3"/>
        <v>30.711915003296795</v>
      </c>
    </row>
    <row r="23" spans="2:9" x14ac:dyDescent="0.25">
      <c r="B23" s="1">
        <v>1875</v>
      </c>
      <c r="C23">
        <f>H4+H5</f>
        <v>20.8</v>
      </c>
      <c r="E23">
        <f t="shared" si="4"/>
        <v>7120.9599999999919</v>
      </c>
      <c r="F23">
        <f t="shared" si="2"/>
        <v>108.36892787183126</v>
      </c>
      <c r="G23">
        <f t="shared" si="3"/>
        <v>36.737066548550793</v>
      </c>
      <c r="H23">
        <f>I4+I5</f>
        <v>36.737066548550793</v>
      </c>
      <c r="I23">
        <f>(H23/G23)*100</f>
        <v>100</v>
      </c>
    </row>
    <row r="24" spans="2:9" x14ac:dyDescent="0.25">
      <c r="B24">
        <v>1900</v>
      </c>
      <c r="C24">
        <f>H4+H5</f>
        <v>20.8</v>
      </c>
      <c r="E24">
        <f t="shared" si="4"/>
        <v>7979.7028571428527</v>
      </c>
      <c r="F24">
        <f t="shared" si="2"/>
        <v>121.43753698438982</v>
      </c>
      <c r="G24">
        <f t="shared" si="3"/>
        <v>41.167325037708146</v>
      </c>
    </row>
    <row r="25" spans="2:9" x14ac:dyDescent="0.25">
      <c r="B25">
        <v>1910</v>
      </c>
      <c r="C25">
        <f>H4+H5</f>
        <v>20.8</v>
      </c>
      <c r="D25">
        <f>sources_consumption!D14</f>
        <v>8323.1999999999989</v>
      </c>
      <c r="F25">
        <f>(D25/D$39)*100</f>
        <v>126.66498062941326</v>
      </c>
      <c r="G25">
        <f t="shared" si="3"/>
        <v>42.939428433371098</v>
      </c>
    </row>
    <row r="26" spans="2:9" x14ac:dyDescent="0.25">
      <c r="B26">
        <v>1911</v>
      </c>
      <c r="C26">
        <f>H6+H7</f>
        <v>32.4</v>
      </c>
      <c r="E26">
        <f>_xlfn.FORECAST.LINEAR(B26,D$25:D$28,B$25:B$28)</f>
        <v>8357.549714285713</v>
      </c>
      <c r="F26">
        <f>(E26/D$39)*100</f>
        <v>127.18772499391562</v>
      </c>
      <c r="G26">
        <f t="shared" si="3"/>
        <v>43.116638772937392</v>
      </c>
    </row>
    <row r="27" spans="2:9" x14ac:dyDescent="0.25">
      <c r="B27" s="1">
        <v>1928</v>
      </c>
      <c r="C27">
        <f>H6+H7</f>
        <v>32.4</v>
      </c>
      <c r="E27">
        <f>_xlfn.FORECAST.LINEAR(B27,D$25:D$28,B$25:B$28)</f>
        <v>8941.4948571428613</v>
      </c>
      <c r="F27">
        <f>(E27/D$39)*100</f>
        <v>136.07437919045549</v>
      </c>
      <c r="G27">
        <f t="shared" si="3"/>
        <v>46.129214545564409</v>
      </c>
      <c r="H27">
        <f>I6+I7</f>
        <v>46.129214545564416</v>
      </c>
      <c r="I27">
        <f>(H27/G27)*100</f>
        <v>100.00000000000003</v>
      </c>
    </row>
    <row r="28" spans="2:9" x14ac:dyDescent="0.25">
      <c r="B28">
        <v>1935</v>
      </c>
      <c r="C28">
        <f>H6+H7</f>
        <v>32.4</v>
      </c>
      <c r="D28">
        <f>sources_consumption!D20</f>
        <v>9181.942857142858</v>
      </c>
      <c r="F28">
        <f>(D28/D$39)*100</f>
        <v>139.73358974197183</v>
      </c>
      <c r="G28">
        <f t="shared" si="3"/>
        <v>47.369686922528452</v>
      </c>
    </row>
    <row r="29" spans="2:9" x14ac:dyDescent="0.25">
      <c r="B29">
        <v>1946</v>
      </c>
      <c r="C29">
        <f>H8+H9</f>
        <v>16.440000000000001</v>
      </c>
      <c r="E29">
        <f>_xlfn.FORECAST.LINEAR(B29,D$28:D$33,B$28:B$33)</f>
        <v>8217.8220408163324</v>
      </c>
      <c r="F29">
        <f>(E29/D$39)*100</f>
        <v>125.06130690311015</v>
      </c>
      <c r="G29">
        <f t="shared" si="3"/>
        <v>42.395783040154335</v>
      </c>
    </row>
    <row r="30" spans="2:9" x14ac:dyDescent="0.25">
      <c r="B30">
        <v>1950</v>
      </c>
      <c r="C30">
        <f>H8+H9+H10</f>
        <v>18.96</v>
      </c>
      <c r="E30">
        <f t="shared" ref="E30:E32" si="5">_xlfn.FORECAST.LINEAR(B30,D$28:D$33,B$28:B$33)</f>
        <v>7867.232653061219</v>
      </c>
      <c r="F30">
        <f>(E30/D$39)*100</f>
        <v>119.72593132534206</v>
      </c>
      <c r="G30">
        <f t="shared" si="3"/>
        <v>40.587090719290956</v>
      </c>
    </row>
    <row r="31" spans="2:9" x14ac:dyDescent="0.25">
      <c r="B31" s="1">
        <v>1960</v>
      </c>
      <c r="C31">
        <f>H8+H9+H10</f>
        <v>18.96</v>
      </c>
      <c r="E31">
        <f t="shared" si="5"/>
        <v>6990.75918367345</v>
      </c>
      <c r="F31">
        <f>(E31/D$39)*100</f>
        <v>106.38749238092208</v>
      </c>
      <c r="G31">
        <f t="shared" si="3"/>
        <v>36.065359917132589</v>
      </c>
      <c r="H31">
        <f>I8+I9+I10</f>
        <v>29.705028070758495</v>
      </c>
      <c r="I31">
        <f>(H31/G31)*100</f>
        <v>82.364429854607764</v>
      </c>
    </row>
    <row r="32" spans="2:9" x14ac:dyDescent="0.25">
      <c r="B32" s="1">
        <v>1966</v>
      </c>
      <c r="C32">
        <f>H8+H9+H10+H11</f>
        <v>24.84</v>
      </c>
      <c r="E32">
        <f t="shared" si="5"/>
        <v>6464.8751020408235</v>
      </c>
      <c r="F32">
        <f>(E32/D$39)*100</f>
        <v>98.384429014270623</v>
      </c>
      <c r="G32">
        <f t="shared" si="3"/>
        <v>33.352321435837737</v>
      </c>
      <c r="H32">
        <f>I8+I9+I10+I11</f>
        <v>37.730061517911253</v>
      </c>
      <c r="I32">
        <f>(H32/G32)*100</f>
        <v>113.12574325746796</v>
      </c>
    </row>
    <row r="33" spans="2:9" x14ac:dyDescent="0.25">
      <c r="B33">
        <v>1970</v>
      </c>
      <c r="C33">
        <f>H8+H9+H10+H11</f>
        <v>24.84</v>
      </c>
      <c r="D33">
        <f>sources_consumption!D33</f>
        <v>6114.2857142857147</v>
      </c>
      <c r="F33">
        <f>(D33/D$39)*100</f>
        <v>93.049053436502604</v>
      </c>
      <c r="G33">
        <f t="shared" si="3"/>
        <v>31.543629114974383</v>
      </c>
      <c r="H33">
        <f>I9+I10+I11+I8</f>
        <v>37.730061517911253</v>
      </c>
      <c r="I33">
        <f>(H33/G33)*100</f>
        <v>119.61230389942688</v>
      </c>
    </row>
    <row r="34" spans="2:9" x14ac:dyDescent="0.25">
      <c r="B34" s="1">
        <v>1975</v>
      </c>
      <c r="C34">
        <f>H9+H10+H11</f>
        <v>23.4</v>
      </c>
      <c r="E34">
        <f>_xlfn.FORECAST.LINEAR(B34,D$33:D$39,B$33:B$39)</f>
        <v>6190.4105676190484</v>
      </c>
      <c r="F34">
        <f>(E34/D$39)*100</f>
        <v>94.207544530418843</v>
      </c>
      <c r="G34">
        <f t="shared" si="3"/>
        <v>31.936357595811987</v>
      </c>
      <c r="H34">
        <f>I9+I10+I11</f>
        <v>32.171994684314541</v>
      </c>
      <c r="I34">
        <f>(H34/G34)*100</f>
        <v>100.73783332302571</v>
      </c>
    </row>
    <row r="35" spans="2:9" x14ac:dyDescent="0.25">
      <c r="B35" s="1">
        <v>1978</v>
      </c>
      <c r="C35">
        <f>H9+H10+H11</f>
        <v>23.4</v>
      </c>
      <c r="E35">
        <f>_xlfn.FORECAST.LINEAR(B35,D$33:D$39,B$33:B$39)</f>
        <v>6236.085479619047</v>
      </c>
      <c r="F35">
        <f>(E35/D$39)*100</f>
        <v>94.902639186768567</v>
      </c>
      <c r="G35">
        <f t="shared" si="3"/>
        <v>32.171994684314541</v>
      </c>
      <c r="H35">
        <f>I9+I10+I11</f>
        <v>32.171994684314541</v>
      </c>
      <c r="I35">
        <f>(H35/G35)*100</f>
        <v>100</v>
      </c>
    </row>
    <row r="36" spans="2:9" x14ac:dyDescent="0.25">
      <c r="B36">
        <v>1982</v>
      </c>
      <c r="C36">
        <f>H9+H11</f>
        <v>20.88</v>
      </c>
      <c r="E36">
        <f>_xlfn.FORECAST.LINEAR(B36,D$33:D$39,B$33:B$39)</f>
        <v>6296.9853622857154</v>
      </c>
      <c r="F36">
        <f>(E36/D$39)*100</f>
        <v>95.829432061901571</v>
      </c>
      <c r="G36">
        <f t="shared" si="3"/>
        <v>32.486177468984636</v>
      </c>
    </row>
    <row r="37" spans="2:9" x14ac:dyDescent="0.25">
      <c r="B37">
        <v>1985</v>
      </c>
      <c r="C37">
        <f>H11+H13</f>
        <v>18.48</v>
      </c>
      <c r="E37">
        <f>_xlfn.FORECAST.LINEAR(B37,D$33:D$39,B$33:B$39)</f>
        <v>6342.660274285714</v>
      </c>
      <c r="F37">
        <f>(E37/D$39)*100</f>
        <v>96.524526718251295</v>
      </c>
      <c r="G37">
        <f t="shared" si="3"/>
        <v>32.721814557487185</v>
      </c>
    </row>
    <row r="38" spans="2:9" x14ac:dyDescent="0.25">
      <c r="B38" s="1">
        <v>1998</v>
      </c>
      <c r="C38">
        <f>H9+H12+H13</f>
        <v>33.9</v>
      </c>
      <c r="E38">
        <f>_xlfn.FORECAST.LINEAR(B38,D$33:D$39,B$33:B$39)</f>
        <v>6540.5848929523818</v>
      </c>
      <c r="F38">
        <f>(E38/D$39)*100</f>
        <v>99.536603562433527</v>
      </c>
      <c r="G38">
        <f t="shared" si="3"/>
        <v>33.742908607664965</v>
      </c>
      <c r="H38">
        <f>I9+I12+I13</f>
        <v>39.622288173608254</v>
      </c>
      <c r="I38">
        <f>(H38/G38)*100</f>
        <v>117.42404495802043</v>
      </c>
    </row>
    <row r="39" spans="2:9" x14ac:dyDescent="0.25">
      <c r="B39" s="1">
        <v>2000</v>
      </c>
      <c r="C39">
        <f>H9+H12+H13</f>
        <v>33.9</v>
      </c>
      <c r="D39">
        <f>sources_consumption!D40</f>
        <v>6571.0348342857142</v>
      </c>
      <c r="F39">
        <v>100</v>
      </c>
      <c r="G39">
        <f>(F39/F$39)*C39</f>
        <v>33.9</v>
      </c>
      <c r="H39">
        <f>I9+I12+I13</f>
        <v>39.622288173608254</v>
      </c>
      <c r="I39">
        <f>(H39/G39)*100</f>
        <v>116.87990611683851</v>
      </c>
    </row>
  </sheetData>
  <mergeCells count="1">
    <mergeCell ref="B15:G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6964B-F1D9-42CD-B124-F58AF00C8392}">
  <dimension ref="A1:I32"/>
  <sheetViews>
    <sheetView workbookViewId="0">
      <selection activeCell="I6" sqref="I6"/>
    </sheetView>
  </sheetViews>
  <sheetFormatPr defaultRowHeight="15" x14ac:dyDescent="0.25"/>
  <cols>
    <col min="1" max="1" width="16.28515625" customWidth="1"/>
    <col min="3" max="3" width="24.140625" customWidth="1"/>
    <col min="4" max="4" width="18.7109375" customWidth="1"/>
    <col min="5" max="5" width="20.5703125" customWidth="1"/>
    <col min="6" max="6" width="17.5703125" customWidth="1"/>
    <col min="7" max="7" width="18.28515625" customWidth="1"/>
    <col min="8" max="8" width="17.42578125" customWidth="1"/>
  </cols>
  <sheetData>
    <row r="1" spans="1:9" x14ac:dyDescent="0.25">
      <c r="A1" s="1" t="s">
        <v>12</v>
      </c>
      <c r="B1" s="1" t="s">
        <v>13</v>
      </c>
      <c r="C1" s="1" t="s">
        <v>14</v>
      </c>
      <c r="D1" s="1" t="s">
        <v>15</v>
      </c>
      <c r="E1" s="1" t="s">
        <v>17</v>
      </c>
      <c r="F1" s="1" t="s">
        <v>18</v>
      </c>
      <c r="G1" s="1" t="s">
        <v>19</v>
      </c>
      <c r="H1" s="1" t="s">
        <v>20</v>
      </c>
      <c r="I1" s="1" t="s">
        <v>106</v>
      </c>
    </row>
    <row r="2" spans="1:9" x14ac:dyDescent="0.25">
      <c r="A2" t="s">
        <v>55</v>
      </c>
      <c r="B2">
        <v>1750</v>
      </c>
      <c r="C2">
        <v>1840</v>
      </c>
      <c r="D2">
        <f xml:space="preserve"> (B2+C2)/2</f>
        <v>1795</v>
      </c>
      <c r="E2">
        <v>32</v>
      </c>
      <c r="F2">
        <v>1</v>
      </c>
      <c r="G2">
        <v>100</v>
      </c>
      <c r="H2">
        <f t="shared" ref="H2:H9" si="0" xml:space="preserve"> E2*F2*G2/100</f>
        <v>32</v>
      </c>
      <c r="I2">
        <f>(G$17/C$17)*H2</f>
        <v>201.15175598127934</v>
      </c>
    </row>
    <row r="3" spans="1:9" x14ac:dyDescent="0.25">
      <c r="A3" t="s">
        <v>56</v>
      </c>
      <c r="B3">
        <v>1841</v>
      </c>
      <c r="C3">
        <v>1910</v>
      </c>
      <c r="D3">
        <f xml:space="preserve"> (B3+C3)/2</f>
        <v>1875.5</v>
      </c>
      <c r="E3">
        <v>30</v>
      </c>
      <c r="F3">
        <v>2</v>
      </c>
      <c r="G3">
        <v>100</v>
      </c>
      <c r="H3">
        <f t="shared" si="0"/>
        <v>60</v>
      </c>
      <c r="I3">
        <f>(G$20/C$20)*H3</f>
        <v>169.72179410920444</v>
      </c>
    </row>
    <row r="4" spans="1:9" x14ac:dyDescent="0.25">
      <c r="A4" t="s">
        <v>57</v>
      </c>
      <c r="B4">
        <v>1911</v>
      </c>
      <c r="C4">
        <v>1945</v>
      </c>
      <c r="D4">
        <f xml:space="preserve"> (B4+C4)/2</f>
        <v>1928</v>
      </c>
      <c r="E4">
        <v>27</v>
      </c>
      <c r="F4">
        <v>3</v>
      </c>
      <c r="G4">
        <v>100</v>
      </c>
      <c r="H4">
        <f t="shared" si="0"/>
        <v>81</v>
      </c>
      <c r="I4">
        <f>(G$24/C$24)*H4</f>
        <v>99.450386022649099</v>
      </c>
    </row>
    <row r="5" spans="1:9" x14ac:dyDescent="0.25">
      <c r="A5" t="s">
        <v>58</v>
      </c>
      <c r="B5">
        <v>1946</v>
      </c>
      <c r="C5">
        <v>1975</v>
      </c>
      <c r="D5">
        <f xml:space="preserve"> (B5+C5)/2</f>
        <v>1960.5</v>
      </c>
      <c r="E5">
        <v>24</v>
      </c>
      <c r="F5">
        <v>4</v>
      </c>
      <c r="G5">
        <v>100</v>
      </c>
      <c r="H5">
        <f t="shared" si="0"/>
        <v>96</v>
      </c>
      <c r="I5">
        <f>((G$26)/(C$26))*H5</f>
        <v>84.790373330631269</v>
      </c>
    </row>
    <row r="6" spans="1:9" x14ac:dyDescent="0.25">
      <c r="A6" t="s">
        <v>31</v>
      </c>
      <c r="B6">
        <v>1951</v>
      </c>
      <c r="C6">
        <v>1982</v>
      </c>
      <c r="D6">
        <f xml:space="preserve"> (B6+C6)/2</f>
        <v>1966.5</v>
      </c>
      <c r="E6">
        <f>dist_calculations!$B$37</f>
        <v>12</v>
      </c>
      <c r="F6">
        <v>7</v>
      </c>
      <c r="G6">
        <v>14</v>
      </c>
      <c r="H6">
        <f t="shared" si="0"/>
        <v>11.76</v>
      </c>
      <c r="I6">
        <f>((G$27-I5)/(C$27-H5))*H6</f>
        <v>3.0075166372730422</v>
      </c>
    </row>
    <row r="7" spans="1:9" x14ac:dyDescent="0.25">
      <c r="A7" t="s">
        <v>29</v>
      </c>
      <c r="B7">
        <v>1960</v>
      </c>
      <c r="C7">
        <v>1990</v>
      </c>
      <c r="D7">
        <v>1975</v>
      </c>
      <c r="E7">
        <v>14</v>
      </c>
      <c r="F7">
        <v>14</v>
      </c>
      <c r="G7">
        <v>14</v>
      </c>
      <c r="H7">
        <f t="shared" si="0"/>
        <v>27.44</v>
      </c>
      <c r="I7">
        <f>((G$29-I6)/(C$29))*H7</f>
        <v>64.088051984364796</v>
      </c>
    </row>
    <row r="8" spans="1:9" x14ac:dyDescent="0.25">
      <c r="A8" t="s">
        <v>149</v>
      </c>
      <c r="B8">
        <v>1990</v>
      </c>
      <c r="C8">
        <v>2010</v>
      </c>
      <c r="D8">
        <f t="shared" ref="D8" si="1" xml:space="preserve"> (B8+C8)/2</f>
        <v>2000</v>
      </c>
      <c r="E8">
        <f>dist_calculations!E$44</f>
        <v>15</v>
      </c>
      <c r="F8">
        <v>7</v>
      </c>
      <c r="G8">
        <v>30</v>
      </c>
      <c r="H8">
        <f t="shared" si="0"/>
        <v>31.5</v>
      </c>
      <c r="I8">
        <f>(G$32/C$32)*H8</f>
        <v>31.5</v>
      </c>
    </row>
    <row r="9" spans="1:9" x14ac:dyDescent="0.25">
      <c r="A9" t="s">
        <v>30</v>
      </c>
      <c r="B9">
        <v>1985</v>
      </c>
      <c r="C9">
        <v>2010</v>
      </c>
      <c r="D9">
        <f xml:space="preserve"> (B9+C9)/2</f>
        <v>1997.5</v>
      </c>
      <c r="E9">
        <f>dist_calculations!E$45</f>
        <v>10</v>
      </c>
      <c r="F9">
        <v>21</v>
      </c>
      <c r="G9">
        <v>30</v>
      </c>
      <c r="H9">
        <f t="shared" si="0"/>
        <v>63</v>
      </c>
      <c r="I9">
        <f>(G$31/C$31)*H9</f>
        <v>63.003300086129983</v>
      </c>
    </row>
    <row r="14" spans="1:9" x14ac:dyDescent="0.25">
      <c r="B14" s="1" t="s">
        <v>28</v>
      </c>
    </row>
    <row r="15" spans="1:9" x14ac:dyDescent="0.25">
      <c r="B15" s="1" t="s">
        <v>0</v>
      </c>
      <c r="C15" s="1" t="s">
        <v>37</v>
      </c>
      <c r="D15" s="1" t="s">
        <v>38</v>
      </c>
      <c r="E15" s="1" t="s">
        <v>39</v>
      </c>
      <c r="F15" s="1" t="s">
        <v>40</v>
      </c>
      <c r="G15" s="1" t="s">
        <v>41</v>
      </c>
      <c r="H15" s="1" t="s">
        <v>107</v>
      </c>
      <c r="I15" s="1" t="s">
        <v>245</v>
      </c>
    </row>
    <row r="16" spans="1:9" x14ac:dyDescent="0.25">
      <c r="B16">
        <v>1750</v>
      </c>
      <c r="C16">
        <f>H2</f>
        <v>32</v>
      </c>
    </row>
    <row r="17" spans="2:9" x14ac:dyDescent="0.25">
      <c r="B17" s="1">
        <v>1800</v>
      </c>
      <c r="C17">
        <f>H2</f>
        <v>32</v>
      </c>
      <c r="D17">
        <f>sources_consumption!D3</f>
        <v>153600</v>
      </c>
      <c r="E17">
        <f>_xlfn.FORECAST.LINEAR(B17,D$17:D$22,B$17:B$22)</f>
        <v>153600</v>
      </c>
      <c r="F17">
        <f t="shared" ref="F17:F22" si="2">(E17/D$32)*F$32</f>
        <v>212.85900103839083</v>
      </c>
      <c r="G17">
        <f t="shared" ref="G17:G32" si="3">(F17/F$32)*C$32</f>
        <v>201.15175598127934</v>
      </c>
      <c r="H17">
        <f>I2</f>
        <v>201.15175598127934</v>
      </c>
      <c r="I17">
        <f t="shared" ref="I17:I29" si="4">(H17/G17)*100</f>
        <v>100</v>
      </c>
    </row>
    <row r="18" spans="2:9" x14ac:dyDescent="0.25">
      <c r="B18">
        <v>1820</v>
      </c>
      <c r="C18">
        <f>H2</f>
        <v>32</v>
      </c>
      <c r="E18">
        <f>_xlfn.FORECAST.LINEAR(B18,D$17:D$22,B$17:B$22)</f>
        <v>147200</v>
      </c>
      <c r="F18">
        <f t="shared" si="2"/>
        <v>203.98987599512455</v>
      </c>
      <c r="G18">
        <f t="shared" si="3"/>
        <v>192.7704328153927</v>
      </c>
      <c r="H18">
        <f>I2</f>
        <v>201.15175598127934</v>
      </c>
      <c r="I18">
        <f t="shared" si="4"/>
        <v>104.34782608695652</v>
      </c>
    </row>
    <row r="19" spans="2:9" x14ac:dyDescent="0.25">
      <c r="B19">
        <v>1841</v>
      </c>
      <c r="C19">
        <f>H3</f>
        <v>60</v>
      </c>
      <c r="E19">
        <f>_xlfn.FORECAST.LINEAR(B19,D$17:D$22,B$17:B$22)</f>
        <v>140480</v>
      </c>
      <c r="F19">
        <f t="shared" si="2"/>
        <v>194.67729469969495</v>
      </c>
      <c r="G19">
        <f t="shared" si="3"/>
        <v>183.97004349121173</v>
      </c>
      <c r="H19">
        <f>I3</f>
        <v>169.72179410920444</v>
      </c>
      <c r="I19">
        <f t="shared" si="4"/>
        <v>92.255125284738043</v>
      </c>
    </row>
    <row r="20" spans="2:9" x14ac:dyDescent="0.25">
      <c r="B20" s="1">
        <v>1875</v>
      </c>
      <c r="C20">
        <f>H3</f>
        <v>60</v>
      </c>
      <c r="E20">
        <f>_xlfn.FORECAST.LINEAR(B20,D$17:D$22,B$17:B$22)</f>
        <v>129600</v>
      </c>
      <c r="F20">
        <f t="shared" si="2"/>
        <v>179.59978212614226</v>
      </c>
      <c r="G20">
        <f t="shared" si="3"/>
        <v>169.72179410920444</v>
      </c>
      <c r="H20">
        <f>I3</f>
        <v>169.72179410920444</v>
      </c>
      <c r="I20">
        <f t="shared" si="4"/>
        <v>100</v>
      </c>
    </row>
    <row r="21" spans="2:9" x14ac:dyDescent="0.25">
      <c r="B21">
        <v>1880</v>
      </c>
      <c r="C21">
        <f>H3</f>
        <v>60</v>
      </c>
      <c r="D21">
        <f>sources_consumption!D11</f>
        <v>128000</v>
      </c>
      <c r="E21">
        <f>_xlfn.FORECAST.LINEAR(B21,D$17:D$22,B$17:B$22)</f>
        <v>128000</v>
      </c>
      <c r="F21">
        <f t="shared" si="2"/>
        <v>177.38250086532571</v>
      </c>
      <c r="G21">
        <f t="shared" si="3"/>
        <v>167.6264633177328</v>
      </c>
      <c r="H21">
        <f>I3</f>
        <v>169.72179410920444</v>
      </c>
      <c r="I21">
        <f t="shared" si="4"/>
        <v>101.25</v>
      </c>
    </row>
    <row r="22" spans="2:9" x14ac:dyDescent="0.25">
      <c r="B22">
        <v>1900</v>
      </c>
      <c r="C22">
        <f>H3</f>
        <v>60</v>
      </c>
      <c r="E22">
        <f>_xlfn.FORECAST.LINEAR(B22,D$21:D$23,B$21:B$23)</f>
        <v>96914.285714285914</v>
      </c>
      <c r="F22">
        <f t="shared" si="2"/>
        <v>134.3038935123183</v>
      </c>
      <c r="G22">
        <f t="shared" si="3"/>
        <v>126.9171793691408</v>
      </c>
      <c r="H22">
        <f>I3</f>
        <v>169.72179410920444</v>
      </c>
      <c r="I22">
        <f t="shared" si="4"/>
        <v>133.72641509433933</v>
      </c>
    </row>
    <row r="23" spans="2:9" x14ac:dyDescent="0.25">
      <c r="B23">
        <v>1910</v>
      </c>
      <c r="C23">
        <f>H4</f>
        <v>81</v>
      </c>
      <c r="D23">
        <f>sources_consumption!D15</f>
        <v>81371.42857142858</v>
      </c>
      <c r="F23">
        <f>(D23/D$32)*F$32</f>
        <v>112.76458983581421</v>
      </c>
      <c r="G23">
        <f t="shared" si="3"/>
        <v>106.56253739484443</v>
      </c>
      <c r="H23">
        <f>I4</f>
        <v>99.450386022649099</v>
      </c>
      <c r="I23">
        <f t="shared" si="4"/>
        <v>93.325842696629124</v>
      </c>
    </row>
    <row r="24" spans="2:9" x14ac:dyDescent="0.25">
      <c r="B24" s="1">
        <v>1928</v>
      </c>
      <c r="C24">
        <f>H4</f>
        <v>81</v>
      </c>
      <c r="E24">
        <f>_xlfn.FORECAST.LINEAR(B24,D$23:D$25,B$23:B$25)</f>
        <v>75940.571428571362</v>
      </c>
      <c r="F24">
        <f>(E24/D$32)*F$32</f>
        <v>105.238503727671</v>
      </c>
      <c r="G24">
        <f t="shared" si="3"/>
        <v>99.450386022649099</v>
      </c>
      <c r="H24">
        <f>I4</f>
        <v>99.450386022649099</v>
      </c>
      <c r="I24">
        <f t="shared" si="4"/>
        <v>100</v>
      </c>
    </row>
    <row r="25" spans="2:9" x14ac:dyDescent="0.25">
      <c r="B25">
        <v>1935</v>
      </c>
      <c r="C25">
        <f>H4</f>
        <v>81</v>
      </c>
      <c r="D25">
        <f>sources_consumption!D21</f>
        <v>73828.57142857142</v>
      </c>
      <c r="F25">
        <f>(D25/D$32)*F$32</f>
        <v>102.3116924633932</v>
      </c>
      <c r="G25">
        <f t="shared" si="3"/>
        <v>96.684549377906578</v>
      </c>
      <c r="H25">
        <f>I4</f>
        <v>99.450386022649099</v>
      </c>
      <c r="I25">
        <f t="shared" si="4"/>
        <v>102.86068111455103</v>
      </c>
    </row>
    <row r="26" spans="2:9" x14ac:dyDescent="0.25">
      <c r="B26" s="1">
        <v>1960</v>
      </c>
      <c r="C26">
        <f>H5+H6</f>
        <v>107.76</v>
      </c>
      <c r="E26">
        <f>_xlfn.FORECAST.LINEAR(B26,D$25:D$28,B$25:B$28)</f>
        <v>72677.551020408166</v>
      </c>
      <c r="F26">
        <f>(E26/D$32)*F$32</f>
        <v>100.71660747474456</v>
      </c>
      <c r="G26">
        <f t="shared" si="3"/>
        <v>95.177194063633607</v>
      </c>
      <c r="H26">
        <f>I5+I6</f>
        <v>87.797889967904311</v>
      </c>
      <c r="I26">
        <f t="shared" si="4"/>
        <v>92.246772802741333</v>
      </c>
    </row>
    <row r="27" spans="2:9" x14ac:dyDescent="0.25">
      <c r="B27" s="1">
        <v>1966</v>
      </c>
      <c r="C27">
        <f>H5+H6+H7</f>
        <v>135.20000000000002</v>
      </c>
      <c r="E27">
        <f>_xlfn.FORECAST.LINEAR(B27,D$25:D$28,B$25:B$28)</f>
        <v>72401.306122448979</v>
      </c>
      <c r="F27">
        <f>(E27/D$32)*F$32</f>
        <v>100.33378707746887</v>
      </c>
      <c r="G27">
        <f t="shared" si="3"/>
        <v>94.815428788208081</v>
      </c>
      <c r="H27">
        <f>I5+I6+I7</f>
        <v>151.88594195226909</v>
      </c>
      <c r="I27">
        <f t="shared" si="4"/>
        <v>160.19116708478009</v>
      </c>
    </row>
    <row r="28" spans="2:9" x14ac:dyDescent="0.25">
      <c r="B28">
        <v>1970</v>
      </c>
      <c r="C28">
        <f>H5+H6+H7</f>
        <v>135.20000000000002</v>
      </c>
      <c r="D28">
        <f>sources_consumption!D34</f>
        <v>72217.14285714287</v>
      </c>
      <c r="F28">
        <f>(D28/D$32)*F$32</f>
        <v>100.0785734792851</v>
      </c>
      <c r="G28">
        <f t="shared" si="3"/>
        <v>94.57425193792443</v>
      </c>
      <c r="H28">
        <f>I5+I6+I7</f>
        <v>151.88594195226909</v>
      </c>
      <c r="I28">
        <f t="shared" si="4"/>
        <v>160.59967574680078</v>
      </c>
    </row>
    <row r="29" spans="2:9" x14ac:dyDescent="0.25">
      <c r="B29" s="1">
        <v>1975</v>
      </c>
      <c r="C29">
        <f>H6+H7</f>
        <v>39.200000000000003</v>
      </c>
      <c r="E29">
        <f>_xlfn.FORECAST.LINEAR(B29,D$28:D$34,B$28:B$34)</f>
        <v>72207.693028571448</v>
      </c>
      <c r="F29">
        <f>(E29/D$32)*F$32</f>
        <v>100.06547789940427</v>
      </c>
      <c r="G29">
        <f t="shared" si="3"/>
        <v>94.561876614937034</v>
      </c>
      <c r="H29">
        <f>I6+I7</f>
        <v>67.095568621637838</v>
      </c>
      <c r="I29">
        <f t="shared" si="4"/>
        <v>70.954142434012766</v>
      </c>
    </row>
    <row r="30" spans="2:9" x14ac:dyDescent="0.25">
      <c r="B30">
        <v>1980</v>
      </c>
      <c r="C30">
        <f>H6+H7</f>
        <v>39.200000000000003</v>
      </c>
      <c r="E30">
        <f>_xlfn.FORECAST.LINEAR(B30,D$28:D$34,B$28:B$34)</f>
        <v>72198.243200000012</v>
      </c>
      <c r="F30">
        <f>(E30/D$32)*F$32</f>
        <v>100.05238231952343</v>
      </c>
      <c r="G30">
        <f t="shared" si="3"/>
        <v>94.549501291949639</v>
      </c>
      <c r="H30">
        <f>I7+I8</f>
        <v>95.588051984364796</v>
      </c>
      <c r="I30">
        <f t="shared" ref="I30" si="5">(H30/G30)*100</f>
        <v>101.09842006380163</v>
      </c>
    </row>
    <row r="31" spans="2:9" x14ac:dyDescent="0.25">
      <c r="B31" s="1">
        <v>1998</v>
      </c>
      <c r="C31">
        <f>H8+H9</f>
        <v>94.5</v>
      </c>
      <c r="E31">
        <f>_xlfn.FORECAST.LINEAR(B31,D$28:D$34,B$28:B$34)</f>
        <v>72164.223817142862</v>
      </c>
      <c r="F31">
        <f>(E31/D$32)*F$32</f>
        <v>100.00523823195235</v>
      </c>
      <c r="G31">
        <f t="shared" si="3"/>
        <v>94.504950129194981</v>
      </c>
      <c r="H31">
        <f>I8+I9</f>
        <v>94.503300086129983</v>
      </c>
      <c r="I31">
        <f>(H31/G31)*100</f>
        <v>99.998254014141324</v>
      </c>
    </row>
    <row r="32" spans="2:9" x14ac:dyDescent="0.25">
      <c r="B32" s="1">
        <v>2000</v>
      </c>
      <c r="C32">
        <f>H8+H9</f>
        <v>94.5</v>
      </c>
      <c r="D32">
        <f>sources_consumption!D41</f>
        <v>72160.443885714281</v>
      </c>
      <c r="F32">
        <v>100</v>
      </c>
      <c r="G32">
        <f t="shared" si="3"/>
        <v>94.5</v>
      </c>
      <c r="H32">
        <f>I8+I9</f>
        <v>94.503300086129983</v>
      </c>
      <c r="I32">
        <f>(H32/G32)*100</f>
        <v>100.00349215463491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1A0A5-E37D-4687-B138-8EDA14B48BB4}">
  <dimension ref="A1:I33"/>
  <sheetViews>
    <sheetView workbookViewId="0">
      <selection activeCell="I11" sqref="I11"/>
    </sheetView>
  </sheetViews>
  <sheetFormatPr defaultRowHeight="15" x14ac:dyDescent="0.25"/>
  <cols>
    <col min="1" max="1" width="27.7109375" customWidth="1"/>
    <col min="3" max="3" width="11.5703125" customWidth="1"/>
    <col min="5" max="5" width="13.7109375" customWidth="1"/>
    <col min="6" max="6" width="17.28515625" customWidth="1"/>
    <col min="7" max="7" width="16.28515625" customWidth="1"/>
    <col min="8" max="8" width="18" customWidth="1"/>
  </cols>
  <sheetData>
    <row r="1" spans="1:9" x14ac:dyDescent="0.25">
      <c r="A1" s="1" t="s">
        <v>12</v>
      </c>
      <c r="B1" s="1" t="s">
        <v>13</v>
      </c>
      <c r="C1" s="1" t="s">
        <v>14</v>
      </c>
      <c r="D1" s="1" t="s">
        <v>15</v>
      </c>
      <c r="E1" s="1" t="s">
        <v>17</v>
      </c>
      <c r="F1" s="1" t="s">
        <v>18</v>
      </c>
      <c r="G1" s="1" t="s">
        <v>19</v>
      </c>
      <c r="H1" s="1" t="s">
        <v>20</v>
      </c>
      <c r="I1" s="1" t="s">
        <v>106</v>
      </c>
    </row>
    <row r="2" spans="1:9" x14ac:dyDescent="0.25">
      <c r="A2" t="s">
        <v>16</v>
      </c>
      <c r="B2">
        <v>1750</v>
      </c>
      <c r="C2">
        <v>1840</v>
      </c>
      <c r="D2">
        <f xml:space="preserve"> (B2+C2)/2</f>
        <v>1795</v>
      </c>
      <c r="E2">
        <v>75</v>
      </c>
      <c r="F2">
        <v>4</v>
      </c>
      <c r="G2">
        <v>31</v>
      </c>
      <c r="H2">
        <f xml:space="preserve"> E2*F2*G2/100</f>
        <v>93</v>
      </c>
      <c r="I2">
        <f>(G$18/C$18)*H2</f>
        <v>27.84404534606206</v>
      </c>
    </row>
    <row r="3" spans="1:9" x14ac:dyDescent="0.25">
      <c r="A3" t="s">
        <v>59</v>
      </c>
      <c r="B3">
        <v>1820</v>
      </c>
      <c r="C3">
        <v>1840</v>
      </c>
      <c r="D3">
        <f t="shared" ref="D3:D12" si="0" xml:space="preserve"> (B3+C3)/2</f>
        <v>1830</v>
      </c>
      <c r="E3">
        <v>27</v>
      </c>
      <c r="F3">
        <v>1</v>
      </c>
      <c r="G3">
        <v>100</v>
      </c>
      <c r="H3">
        <f t="shared" ref="H3:H12" si="1" xml:space="preserve"> E3*F3*G3/100</f>
        <v>27</v>
      </c>
      <c r="I3">
        <f>G19-I2</f>
        <v>45.210693066090684</v>
      </c>
    </row>
    <row r="4" spans="1:9" x14ac:dyDescent="0.25">
      <c r="A4" t="s">
        <v>22</v>
      </c>
      <c r="B4">
        <v>1841</v>
      </c>
      <c r="C4">
        <v>1910</v>
      </c>
      <c r="D4">
        <f t="shared" si="0"/>
        <v>1875.5</v>
      </c>
      <c r="E4">
        <v>45</v>
      </c>
      <c r="F4">
        <v>8</v>
      </c>
      <c r="G4">
        <v>31</v>
      </c>
      <c r="H4">
        <f t="shared" si="1"/>
        <v>111.6</v>
      </c>
      <c r="I4">
        <f>(G$21/C$21)*H4</f>
        <v>88.030130399498645</v>
      </c>
    </row>
    <row r="5" spans="1:9" x14ac:dyDescent="0.25">
      <c r="A5" t="s">
        <v>60</v>
      </c>
      <c r="B5">
        <v>1841</v>
      </c>
      <c r="C5">
        <v>1911</v>
      </c>
      <c r="D5">
        <f t="shared" si="0"/>
        <v>1876</v>
      </c>
      <c r="E5">
        <v>36</v>
      </c>
      <c r="F5">
        <v>2</v>
      </c>
      <c r="G5">
        <v>75</v>
      </c>
      <c r="H5">
        <f t="shared" si="1"/>
        <v>54</v>
      </c>
      <c r="I5">
        <f>(G$21/C$21)*H5</f>
        <v>42.595224386854184</v>
      </c>
    </row>
    <row r="6" spans="1:9" x14ac:dyDescent="0.25">
      <c r="A6" t="s">
        <v>26</v>
      </c>
      <c r="B6">
        <v>1911</v>
      </c>
      <c r="C6">
        <v>1945</v>
      </c>
      <c r="D6">
        <f t="shared" si="0"/>
        <v>1928</v>
      </c>
      <c r="E6">
        <v>10</v>
      </c>
      <c r="F6">
        <v>8</v>
      </c>
      <c r="G6">
        <v>31</v>
      </c>
      <c r="H6">
        <f t="shared" si="1"/>
        <v>24.8</v>
      </c>
      <c r="I6">
        <f>(G$24/C$24)*H6</f>
        <v>43.011292804650225</v>
      </c>
    </row>
    <row r="7" spans="1:9" x14ac:dyDescent="0.25">
      <c r="A7" t="s">
        <v>61</v>
      </c>
      <c r="B7">
        <v>1911</v>
      </c>
      <c r="C7">
        <v>1945</v>
      </c>
      <c r="D7">
        <f xml:space="preserve"> (B7+C7)/2</f>
        <v>1928</v>
      </c>
      <c r="E7">
        <v>30</v>
      </c>
      <c r="F7">
        <v>4</v>
      </c>
      <c r="G7">
        <v>67</v>
      </c>
      <c r="H7">
        <f t="shared" si="1"/>
        <v>80.400000000000006</v>
      </c>
      <c r="I7">
        <f>(G$24/C$24)*H7</f>
        <v>139.4398363505596</v>
      </c>
    </row>
    <row r="8" spans="1:9" x14ac:dyDescent="0.25">
      <c r="A8" t="s">
        <v>27</v>
      </c>
      <c r="B8">
        <v>1946</v>
      </c>
      <c r="C8">
        <v>1975</v>
      </c>
      <c r="D8">
        <f t="shared" si="0"/>
        <v>1960.5</v>
      </c>
      <c r="E8">
        <v>4</v>
      </c>
      <c r="F8">
        <v>12</v>
      </c>
      <c r="G8">
        <v>31</v>
      </c>
      <c r="H8">
        <f t="shared" si="1"/>
        <v>14.88</v>
      </c>
      <c r="I8">
        <f>((G$26-I9)/(C$26-H9))*H8</f>
        <v>38.255998031529593</v>
      </c>
    </row>
    <row r="9" spans="1:9" x14ac:dyDescent="0.25">
      <c r="A9" t="s">
        <v>62</v>
      </c>
      <c r="B9">
        <v>1946</v>
      </c>
      <c r="C9">
        <v>1987</v>
      </c>
      <c r="D9">
        <f t="shared" si="0"/>
        <v>1966.5</v>
      </c>
      <c r="E9">
        <v>15</v>
      </c>
      <c r="F9">
        <v>6</v>
      </c>
      <c r="G9">
        <v>67</v>
      </c>
      <c r="H9">
        <f t="shared" si="1"/>
        <v>60.3</v>
      </c>
      <c r="I9">
        <f>((G$27-I10)/(C$27-H10))*H9</f>
        <v>60.069925727474626</v>
      </c>
    </row>
    <row r="10" spans="1:9" x14ac:dyDescent="0.25">
      <c r="A10" t="s">
        <v>31</v>
      </c>
      <c r="B10">
        <v>1951</v>
      </c>
      <c r="C10">
        <v>1982</v>
      </c>
      <c r="D10">
        <f t="shared" si="0"/>
        <v>1966.5</v>
      </c>
      <c r="E10">
        <f>dist_calculations!$B$37</f>
        <v>12</v>
      </c>
      <c r="F10">
        <v>7</v>
      </c>
      <c r="G10">
        <v>31</v>
      </c>
      <c r="H10">
        <f t="shared" si="1"/>
        <v>26.04</v>
      </c>
      <c r="I10">
        <f>((G$27-I11)/(C$27-H11))*H10</f>
        <v>24.946289367150037</v>
      </c>
    </row>
    <row r="11" spans="1:9" x14ac:dyDescent="0.25">
      <c r="A11" t="s">
        <v>29</v>
      </c>
      <c r="B11">
        <v>1960</v>
      </c>
      <c r="C11">
        <v>1990</v>
      </c>
      <c r="D11">
        <f t="shared" si="0"/>
        <v>1975</v>
      </c>
      <c r="E11">
        <v>14</v>
      </c>
      <c r="F11">
        <v>14</v>
      </c>
      <c r="G11">
        <v>31</v>
      </c>
      <c r="H11">
        <f t="shared" si="1"/>
        <v>60.76</v>
      </c>
      <c r="I11">
        <f>((G$29)/(C$29))*H11</f>
        <v>63.398970220979102</v>
      </c>
    </row>
    <row r="12" spans="1:9" x14ac:dyDescent="0.25">
      <c r="A12" t="s">
        <v>149</v>
      </c>
      <c r="B12">
        <v>1990</v>
      </c>
      <c r="C12">
        <v>2010</v>
      </c>
      <c r="D12">
        <f t="shared" si="0"/>
        <v>2000</v>
      </c>
      <c r="E12">
        <f>dist_calculations!E$44</f>
        <v>15</v>
      </c>
      <c r="F12">
        <v>7</v>
      </c>
      <c r="G12">
        <v>43</v>
      </c>
      <c r="H12">
        <f t="shared" si="1"/>
        <v>45.15</v>
      </c>
      <c r="I12">
        <f>(G$33/C$33)*H12</f>
        <v>45.15</v>
      </c>
    </row>
    <row r="13" spans="1:9" x14ac:dyDescent="0.25">
      <c r="A13" t="s">
        <v>30</v>
      </c>
      <c r="B13">
        <v>1985</v>
      </c>
      <c r="C13">
        <v>2010</v>
      </c>
      <c r="D13">
        <f xml:space="preserve"> (B13+C13)/2</f>
        <v>1997.5</v>
      </c>
      <c r="E13">
        <f>dist_calculations!E$45</f>
        <v>10</v>
      </c>
      <c r="F13">
        <v>21</v>
      </c>
      <c r="G13">
        <v>43</v>
      </c>
      <c r="H13">
        <f xml:space="preserve"> E13*F13*G13/100</f>
        <v>90.3</v>
      </c>
      <c r="I13">
        <f>((G$32-I12)/(C$32-H12))*H13</f>
        <v>91.743115891383908</v>
      </c>
    </row>
    <row r="15" spans="1:9" x14ac:dyDescent="0.25">
      <c r="B15" s="1" t="s">
        <v>28</v>
      </c>
    </row>
    <row r="16" spans="1:9" x14ac:dyDescent="0.25">
      <c r="A16" t="s">
        <v>66</v>
      </c>
      <c r="B16" s="1" t="s">
        <v>0</v>
      </c>
      <c r="C16" s="1" t="s">
        <v>37</v>
      </c>
      <c r="D16" s="1" t="s">
        <v>38</v>
      </c>
      <c r="E16" s="1" t="s">
        <v>39</v>
      </c>
      <c r="F16" s="1" t="s">
        <v>40</v>
      </c>
      <c r="G16" s="1" t="s">
        <v>41</v>
      </c>
      <c r="H16" s="1" t="s">
        <v>107</v>
      </c>
      <c r="I16" s="1" t="s">
        <v>245</v>
      </c>
    </row>
    <row r="17" spans="1:9" x14ac:dyDescent="0.25">
      <c r="B17">
        <v>1750</v>
      </c>
      <c r="C17">
        <f>H2</f>
        <v>93</v>
      </c>
    </row>
    <row r="18" spans="1:9" x14ac:dyDescent="0.25">
      <c r="A18" t="s">
        <v>16</v>
      </c>
      <c r="B18" s="1">
        <v>1800</v>
      </c>
      <c r="C18">
        <f>H2</f>
        <v>93</v>
      </c>
      <c r="D18">
        <f>sources_consumption!D5</f>
        <v>21164</v>
      </c>
      <c r="F18">
        <f>(D18/E$22)*100</f>
        <v>20.55669645334962</v>
      </c>
      <c r="G18">
        <f t="shared" ref="G18:G33" si="2">(F18/F$33)*C$33</f>
        <v>27.84404534606206</v>
      </c>
      <c r="H18">
        <f>I2</f>
        <v>27.84404534606206</v>
      </c>
      <c r="I18">
        <f t="shared" ref="I18:I33" si="3">(H18/G18)*100</f>
        <v>100</v>
      </c>
    </row>
    <row r="19" spans="1:9" x14ac:dyDescent="0.25">
      <c r="A19" t="s">
        <v>59</v>
      </c>
      <c r="B19" s="1">
        <v>1830</v>
      </c>
      <c r="C19">
        <f>H2+H3</f>
        <v>120</v>
      </c>
      <c r="E19">
        <f>_xlfn.FORECAST.LINEAR(B19,D$18:D$20,B$18:B$20)</f>
        <v>46529.59999999986</v>
      </c>
      <c r="F19">
        <f>(E19/D$33)*100</f>
        <v>53.934838251866189</v>
      </c>
      <c r="G19">
        <f t="shared" si="2"/>
        <v>73.054738412152744</v>
      </c>
      <c r="H19">
        <f>I2+I3</f>
        <v>73.054738412152744</v>
      </c>
      <c r="I19">
        <f t="shared" si="3"/>
        <v>100</v>
      </c>
    </row>
    <row r="20" spans="1:9" x14ac:dyDescent="0.25">
      <c r="B20">
        <v>1850</v>
      </c>
      <c r="C20">
        <f>H4+H5</f>
        <v>165.6</v>
      </c>
      <c r="D20">
        <f>sources_consumption!D8</f>
        <v>63440</v>
      </c>
      <c r="F20">
        <f>(D20/D$33)*100</f>
        <v>73.53654746007706</v>
      </c>
      <c r="G20">
        <f t="shared" si="2"/>
        <v>99.605253534674375</v>
      </c>
      <c r="H20">
        <f>I4+I5</f>
        <v>130.62535478635283</v>
      </c>
      <c r="I20">
        <f t="shared" si="3"/>
        <v>131.14303729057806</v>
      </c>
    </row>
    <row r="21" spans="1:9" x14ac:dyDescent="0.25">
      <c r="A21" t="s">
        <v>67</v>
      </c>
      <c r="B21" s="1">
        <v>1875</v>
      </c>
      <c r="C21">
        <f>H4+H5</f>
        <v>165.6</v>
      </c>
      <c r="E21">
        <f>_xlfn.FORECAST.LINEAR(B21,D$20:D$23,B$20:B$23)</f>
        <v>83197.142857142724</v>
      </c>
      <c r="F21">
        <f>(E21/D$33)*100</f>
        <v>96.438061857772496</v>
      </c>
      <c r="G21">
        <f t="shared" si="2"/>
        <v>130.62535478635283</v>
      </c>
      <c r="H21">
        <f>I4+I5</f>
        <v>130.62535478635283</v>
      </c>
      <c r="I21">
        <f t="shared" si="3"/>
        <v>100</v>
      </c>
    </row>
    <row r="22" spans="1:9" x14ac:dyDescent="0.25">
      <c r="B22">
        <v>1900</v>
      </c>
      <c r="C22">
        <f>H4+H5</f>
        <v>165.6</v>
      </c>
      <c r="E22">
        <f>_xlfn.FORECAST.LINEAR(B22,D$20:D$23,B$20:B$23)</f>
        <v>102954.28571428568</v>
      </c>
      <c r="F22">
        <f>(E22/D$33)*100</f>
        <v>119.3395762554682</v>
      </c>
      <c r="G22">
        <f t="shared" si="2"/>
        <v>161.64545603803168</v>
      </c>
      <c r="H22">
        <f>I4+I5</f>
        <v>130.62535478635283</v>
      </c>
      <c r="I22">
        <f t="shared" si="3"/>
        <v>80.809790753177438</v>
      </c>
    </row>
    <row r="23" spans="1:9" x14ac:dyDescent="0.25">
      <c r="B23">
        <v>1910</v>
      </c>
      <c r="C23">
        <f>H4+H5</f>
        <v>165.6</v>
      </c>
      <c r="D23">
        <f>sources_consumption!D16</f>
        <v>110857.14285714287</v>
      </c>
      <c r="F23">
        <f>(D23/D$33)*100</f>
        <v>128.50018201454648</v>
      </c>
      <c r="G23">
        <f t="shared" si="2"/>
        <v>174.05349653870317</v>
      </c>
      <c r="H23">
        <f>I4+I5</f>
        <v>130.62535478635283</v>
      </c>
      <c r="I23">
        <f t="shared" si="3"/>
        <v>75.048969072164823</v>
      </c>
    </row>
    <row r="24" spans="1:9" x14ac:dyDescent="0.25">
      <c r="A24" t="s">
        <v>68</v>
      </c>
      <c r="B24" s="1">
        <v>1928</v>
      </c>
      <c r="C24">
        <f>H6+H7</f>
        <v>105.2</v>
      </c>
      <c r="E24">
        <f>_xlfn.FORECAST.LINEAR(B24,D$23:D$25,B$23:B$25)</f>
        <v>116205.71428571438</v>
      </c>
      <c r="F24">
        <f>(E24/D$33)*100</f>
        <v>134.69998461071233</v>
      </c>
      <c r="G24">
        <f t="shared" si="2"/>
        <v>182.45112915520983</v>
      </c>
      <c r="H24">
        <f>I6+I7</f>
        <v>182.45112915520983</v>
      </c>
      <c r="I24">
        <f t="shared" si="3"/>
        <v>100</v>
      </c>
    </row>
    <row r="25" spans="1:9" x14ac:dyDescent="0.25">
      <c r="B25">
        <v>1935</v>
      </c>
      <c r="C25">
        <f>H6+H7</f>
        <v>105.2</v>
      </c>
      <c r="D25">
        <f>sources_consumption!D22</f>
        <v>118285.7142857143</v>
      </c>
      <c r="F25">
        <f>(D25/D$33)*100</f>
        <v>137.11101895366559</v>
      </c>
      <c r="G25">
        <f t="shared" si="2"/>
        <v>185.71687517274003</v>
      </c>
      <c r="H25">
        <f>I6+I7</f>
        <v>182.45112915520983</v>
      </c>
      <c r="I25">
        <f t="shared" si="3"/>
        <v>98.241545893719859</v>
      </c>
    </row>
    <row r="26" spans="1:9" x14ac:dyDescent="0.25">
      <c r="A26" t="s">
        <v>27</v>
      </c>
      <c r="B26" s="1">
        <v>1960</v>
      </c>
      <c r="C26">
        <f>H8+H9+H10</f>
        <v>101.22</v>
      </c>
      <c r="E26">
        <f>_xlfn.FORECAST.LINEAR(B26,D$25:D$28,B$25:B$28)</f>
        <v>105265.30612244899</v>
      </c>
      <c r="F26">
        <f>(E26/D$33)*100</f>
        <v>122.01839816477002</v>
      </c>
      <c r="G26">
        <f t="shared" si="2"/>
        <v>165.273920314181</v>
      </c>
      <c r="H26">
        <f>I8+I9+I10</f>
        <v>123.27221312615424</v>
      </c>
      <c r="I26">
        <f t="shared" si="3"/>
        <v>74.586609243501513</v>
      </c>
    </row>
    <row r="27" spans="1:9" x14ac:dyDescent="0.25">
      <c r="A27" t="s">
        <v>69</v>
      </c>
      <c r="B27" s="1">
        <v>1966</v>
      </c>
      <c r="C27">
        <f>H8+H9+H10+H11</f>
        <v>161.97999999999999</v>
      </c>
      <c r="E27">
        <f>_xlfn.FORECAST.LINEAR(B27,D$25:D$28,B$25:B$28)</f>
        <v>102140.40816326533</v>
      </c>
      <c r="F27">
        <f>(E27/D$33)*100</f>
        <v>118.39616917543509</v>
      </c>
      <c r="G27">
        <f t="shared" si="2"/>
        <v>160.36761114812683</v>
      </c>
      <c r="H27">
        <f>I8+I9+I10+I11</f>
        <v>186.67118334713334</v>
      </c>
      <c r="I27">
        <f t="shared" si="3"/>
        <v>116.40204777678622</v>
      </c>
    </row>
    <row r="28" spans="1:9" x14ac:dyDescent="0.25">
      <c r="B28">
        <v>1970</v>
      </c>
      <c r="C28">
        <f>H8+H9+H10+H11</f>
        <v>161.97999999999999</v>
      </c>
      <c r="D28">
        <f>sources_consumption!D35</f>
        <v>100057.14285714286</v>
      </c>
      <c r="F28">
        <f>(D28/D$33)*100</f>
        <v>115.9813498492118</v>
      </c>
      <c r="G28">
        <f t="shared" si="2"/>
        <v>157.09673837075738</v>
      </c>
      <c r="H28">
        <f>I8+I9+I10+I11</f>
        <v>186.67118334713334</v>
      </c>
      <c r="I28">
        <f t="shared" si="3"/>
        <v>118.82562635169329</v>
      </c>
    </row>
    <row r="29" spans="1:9" x14ac:dyDescent="0.25">
      <c r="A29" t="s">
        <v>29</v>
      </c>
      <c r="B29" s="1">
        <v>1975</v>
      </c>
      <c r="C29">
        <f>H9+H10+H11</f>
        <v>147.1</v>
      </c>
      <c r="E29">
        <f>_xlfn.FORECAST.LINEAR(B29,D$28:D$33,B$28:B$33)</f>
        <v>97759.290361904888</v>
      </c>
      <c r="F29">
        <f>(E29/D$33)*100</f>
        <v>113.31779154100998</v>
      </c>
      <c r="G29">
        <f t="shared" si="2"/>
        <v>153.488948642298</v>
      </c>
      <c r="H29">
        <f>I9+I10+I11</f>
        <v>148.41518531560376</v>
      </c>
      <c r="I29">
        <f t="shared" si="3"/>
        <v>96.694378734381388</v>
      </c>
    </row>
    <row r="30" spans="1:9" x14ac:dyDescent="0.25">
      <c r="B30">
        <v>1980</v>
      </c>
      <c r="C30">
        <f>H10+H11</f>
        <v>86.8</v>
      </c>
      <c r="E30">
        <f>_xlfn.FORECAST.LINEAR(B30,D$28:D$33,B$28:B$33)</f>
        <v>95461.43786666682</v>
      </c>
      <c r="F30">
        <f>(E30/D$33)*100</f>
        <v>110.65423323280805</v>
      </c>
      <c r="G30">
        <f t="shared" si="2"/>
        <v>149.8811589138385</v>
      </c>
      <c r="H30">
        <f>I9+I10+I11</f>
        <v>148.41518531560376</v>
      </c>
      <c r="I30">
        <f t="shared" si="3"/>
        <v>99.021909352143794</v>
      </c>
    </row>
    <row r="31" spans="1:9" x14ac:dyDescent="0.25">
      <c r="B31">
        <v>1982</v>
      </c>
      <c r="C31">
        <f>H11+H9</f>
        <v>121.06</v>
      </c>
      <c r="E31">
        <f>_xlfn.FORECAST.LINEAR(B31,D$28:D$33,B$28:B$33)</f>
        <v>94542.296868571546</v>
      </c>
      <c r="F31">
        <f>(E31/D$33)*100</f>
        <v>109.58880990952721</v>
      </c>
      <c r="G31">
        <f t="shared" si="2"/>
        <v>148.43804302245459</v>
      </c>
      <c r="H31">
        <f>I11+I9</f>
        <v>123.46889594845373</v>
      </c>
      <c r="I31">
        <f t="shared" si="3"/>
        <v>83.178741402415483</v>
      </c>
    </row>
    <row r="32" spans="1:9" x14ac:dyDescent="0.25">
      <c r="A32" t="s">
        <v>30</v>
      </c>
      <c r="B32" s="1">
        <v>1998</v>
      </c>
      <c r="C32">
        <f>H12+H13</f>
        <v>135.44999999999999</v>
      </c>
      <c r="E32">
        <f>_xlfn.FORECAST.LINEAR(B32,D$28:D$33,B$28:B$33)</f>
        <v>87189.168883809587</v>
      </c>
      <c r="F32">
        <f>(E32/D$33)*100</f>
        <v>101.06542332328085</v>
      </c>
      <c r="G32">
        <f t="shared" si="2"/>
        <v>136.8931158913839</v>
      </c>
      <c r="H32">
        <f>I12+I13</f>
        <v>136.8931158913839</v>
      </c>
      <c r="I32">
        <f t="shared" si="3"/>
        <v>100</v>
      </c>
    </row>
    <row r="33" spans="2:9" x14ac:dyDescent="0.25">
      <c r="B33" s="1">
        <v>2000</v>
      </c>
      <c r="C33">
        <f>H12+H13</f>
        <v>135.44999999999999</v>
      </c>
      <c r="D33">
        <f>sources_consumption!D42</f>
        <v>86270.027885714284</v>
      </c>
      <c r="F33">
        <v>100</v>
      </c>
      <c r="G33">
        <f t="shared" si="2"/>
        <v>135.44999999999999</v>
      </c>
      <c r="H33">
        <f>I12+I13</f>
        <v>136.8931158913839</v>
      </c>
      <c r="I33">
        <f t="shared" si="3"/>
        <v>101.06542332328085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312D0-D4A8-4839-A339-273C067DDA63}">
  <dimension ref="A1:I33"/>
  <sheetViews>
    <sheetView workbookViewId="0">
      <selection activeCell="F21" sqref="F21"/>
    </sheetView>
  </sheetViews>
  <sheetFormatPr defaultRowHeight="15" x14ac:dyDescent="0.25"/>
  <cols>
    <col min="1" max="1" width="18.85546875" customWidth="1"/>
    <col min="5" max="5" width="19.28515625" customWidth="1"/>
    <col min="7" max="7" width="17.5703125" customWidth="1"/>
    <col min="8" max="8" width="18.42578125" customWidth="1"/>
  </cols>
  <sheetData>
    <row r="1" spans="1:9" x14ac:dyDescent="0.25">
      <c r="A1" s="1" t="s">
        <v>12</v>
      </c>
      <c r="B1" s="1" t="s">
        <v>13</v>
      </c>
      <c r="C1" s="1" t="s">
        <v>14</v>
      </c>
      <c r="D1" s="1" t="s">
        <v>15</v>
      </c>
      <c r="E1" s="1" t="s">
        <v>17</v>
      </c>
      <c r="F1" s="1" t="s">
        <v>18</v>
      </c>
      <c r="G1" s="1" t="s">
        <v>19</v>
      </c>
      <c r="H1" s="1" t="s">
        <v>20</v>
      </c>
      <c r="I1" s="1" t="s">
        <v>113</v>
      </c>
    </row>
    <row r="2" spans="1:9" x14ac:dyDescent="0.25">
      <c r="A2" t="s">
        <v>16</v>
      </c>
      <c r="B2">
        <v>1750</v>
      </c>
      <c r="C2">
        <v>1840</v>
      </c>
      <c r="D2">
        <f xml:space="preserve"> (B2+C2)/2</f>
        <v>1795</v>
      </c>
      <c r="E2">
        <v>75</v>
      </c>
      <c r="F2">
        <v>4</v>
      </c>
      <c r="G2">
        <v>16</v>
      </c>
      <c r="H2">
        <f xml:space="preserve"> E2*F2*G2/100</f>
        <v>48</v>
      </c>
      <c r="I2">
        <f>(G$18/C$18)*H2</f>
        <v>15.339450753374837</v>
      </c>
    </row>
    <row r="3" spans="1:9" x14ac:dyDescent="0.25">
      <c r="A3" t="s">
        <v>59</v>
      </c>
      <c r="B3">
        <v>1820</v>
      </c>
      <c r="C3">
        <v>1840</v>
      </c>
      <c r="D3">
        <f t="shared" ref="D3:D12" si="0" xml:space="preserve"> (B3+C3)/2</f>
        <v>1830</v>
      </c>
      <c r="E3">
        <v>27</v>
      </c>
      <c r="F3">
        <v>1</v>
      </c>
      <c r="G3">
        <v>100</v>
      </c>
      <c r="H3">
        <f t="shared" ref="H3:H12" si="1" xml:space="preserve"> E3*F3*G3/100</f>
        <v>27</v>
      </c>
      <c r="I3">
        <f>(G19/C19)*H3</f>
        <v>7.2997271631408456</v>
      </c>
    </row>
    <row r="4" spans="1:9" x14ac:dyDescent="0.25">
      <c r="A4" t="s">
        <v>22</v>
      </c>
      <c r="B4">
        <v>1841</v>
      </c>
      <c r="C4">
        <v>1910</v>
      </c>
      <c r="D4">
        <f t="shared" si="0"/>
        <v>1875.5</v>
      </c>
      <c r="E4">
        <v>45</v>
      </c>
      <c r="F4">
        <v>8</v>
      </c>
      <c r="G4">
        <v>16</v>
      </c>
      <c r="H4">
        <f t="shared" si="1"/>
        <v>57.6</v>
      </c>
      <c r="I4">
        <f>(G$20/C$20)*H4</f>
        <v>12.303721606209509</v>
      </c>
    </row>
    <row r="5" spans="1:9" x14ac:dyDescent="0.25">
      <c r="A5" t="s">
        <v>60</v>
      </c>
      <c r="B5">
        <v>1841</v>
      </c>
      <c r="C5">
        <v>1911</v>
      </c>
      <c r="D5">
        <f t="shared" si="0"/>
        <v>1876</v>
      </c>
      <c r="E5">
        <v>36</v>
      </c>
      <c r="F5">
        <v>2</v>
      </c>
      <c r="G5">
        <v>100</v>
      </c>
      <c r="H5">
        <f t="shared" si="1"/>
        <v>72</v>
      </c>
      <c r="I5">
        <f>(G$20/C$20)*H5</f>
        <v>15.379652007761884</v>
      </c>
    </row>
    <row r="6" spans="1:9" x14ac:dyDescent="0.25">
      <c r="A6" t="s">
        <v>26</v>
      </c>
      <c r="B6">
        <v>1911</v>
      </c>
      <c r="C6">
        <v>1945</v>
      </c>
      <c r="D6">
        <f t="shared" si="0"/>
        <v>1928</v>
      </c>
      <c r="E6">
        <v>10</v>
      </c>
      <c r="F6">
        <v>8</v>
      </c>
      <c r="G6">
        <v>16</v>
      </c>
      <c r="H6">
        <f t="shared" si="1"/>
        <v>12.8</v>
      </c>
      <c r="I6">
        <f>(G$24/C$24)*H6</f>
        <v>4.4853553968247253</v>
      </c>
    </row>
    <row r="7" spans="1:9" x14ac:dyDescent="0.25">
      <c r="A7" t="s">
        <v>61</v>
      </c>
      <c r="B7">
        <v>1911</v>
      </c>
      <c r="C7">
        <v>1945</v>
      </c>
      <c r="D7">
        <f xml:space="preserve"> (B7+C7)/2</f>
        <v>1928</v>
      </c>
      <c r="E7">
        <v>30</v>
      </c>
      <c r="F7">
        <v>4</v>
      </c>
      <c r="G7">
        <v>100</v>
      </c>
      <c r="H7">
        <f t="shared" si="1"/>
        <v>120</v>
      </c>
      <c r="I7">
        <f>(G$24/C$24)*H7</f>
        <v>42.050206845231791</v>
      </c>
    </row>
    <row r="8" spans="1:9" x14ac:dyDescent="0.25">
      <c r="A8" t="s">
        <v>27</v>
      </c>
      <c r="B8">
        <v>1946</v>
      </c>
      <c r="C8">
        <v>1975</v>
      </c>
      <c r="D8">
        <f t="shared" si="0"/>
        <v>1960.5</v>
      </c>
      <c r="E8">
        <v>4</v>
      </c>
      <c r="F8">
        <v>12</v>
      </c>
      <c r="G8">
        <v>16</v>
      </c>
      <c r="H8">
        <f t="shared" si="1"/>
        <v>7.68</v>
      </c>
      <c r="I8">
        <f>((G$26-I9)/(C$26-H9))*H8</f>
        <v>6.3014803371673169</v>
      </c>
    </row>
    <row r="9" spans="1:9" x14ac:dyDescent="0.25">
      <c r="A9" t="s">
        <v>62</v>
      </c>
      <c r="B9">
        <v>1946</v>
      </c>
      <c r="C9">
        <v>1987</v>
      </c>
      <c r="D9">
        <f t="shared" si="0"/>
        <v>1966.5</v>
      </c>
      <c r="E9">
        <v>15</v>
      </c>
      <c r="F9">
        <v>6</v>
      </c>
      <c r="G9">
        <v>100</v>
      </c>
      <c r="H9">
        <f t="shared" si="1"/>
        <v>90</v>
      </c>
      <c r="I9">
        <f>((G$27)/(C$27))*H9</f>
        <v>26.51508951379045</v>
      </c>
    </row>
    <row r="10" spans="1:9" x14ac:dyDescent="0.25">
      <c r="A10" t="s">
        <v>31</v>
      </c>
      <c r="B10">
        <v>1951</v>
      </c>
      <c r="C10">
        <v>1982</v>
      </c>
      <c r="D10">
        <f t="shared" si="0"/>
        <v>1966.5</v>
      </c>
      <c r="E10">
        <f>dist_calculations!$B$37</f>
        <v>12</v>
      </c>
      <c r="F10">
        <v>7</v>
      </c>
      <c r="G10">
        <v>16</v>
      </c>
      <c r="H10">
        <f t="shared" si="1"/>
        <v>13.44</v>
      </c>
      <c r="I10">
        <f>((G$27-I9)/(C$27-H9))*H10</f>
        <v>3.9595867007260401</v>
      </c>
    </row>
    <row r="11" spans="1:9" x14ac:dyDescent="0.25">
      <c r="A11" t="s">
        <v>29</v>
      </c>
      <c r="B11">
        <v>1960</v>
      </c>
      <c r="C11">
        <v>1990</v>
      </c>
      <c r="D11">
        <f t="shared" si="0"/>
        <v>1975</v>
      </c>
      <c r="E11">
        <v>14</v>
      </c>
      <c r="F11">
        <v>14</v>
      </c>
      <c r="G11">
        <v>16</v>
      </c>
      <c r="H11">
        <f t="shared" si="1"/>
        <v>31.36</v>
      </c>
      <c r="I11">
        <f>((G$29-I10)/(C$29-H10))*H11</f>
        <v>9.7826891145005241</v>
      </c>
    </row>
    <row r="12" spans="1:9" x14ac:dyDescent="0.25">
      <c r="A12" t="s">
        <v>149</v>
      </c>
      <c r="B12">
        <v>1990</v>
      </c>
      <c r="C12">
        <v>2010</v>
      </c>
      <c r="D12">
        <f t="shared" si="0"/>
        <v>2000</v>
      </c>
      <c r="E12">
        <f>dist_calculations!E$44</f>
        <v>15</v>
      </c>
      <c r="F12">
        <v>7</v>
      </c>
      <c r="G12">
        <v>15</v>
      </c>
      <c r="H12">
        <f t="shared" si="1"/>
        <v>15.75</v>
      </c>
      <c r="I12">
        <f>(G$33/C$33)*H12</f>
        <v>15.75</v>
      </c>
    </row>
    <row r="13" spans="1:9" x14ac:dyDescent="0.25">
      <c r="A13" t="s">
        <v>30</v>
      </c>
      <c r="B13">
        <v>1985</v>
      </c>
      <c r="C13">
        <v>2010</v>
      </c>
      <c r="D13">
        <f xml:space="preserve"> (B13+C13)/2</f>
        <v>1997.5</v>
      </c>
      <c r="E13">
        <f>dist_calculations!E$45</f>
        <v>10</v>
      </c>
      <c r="F13">
        <v>21</v>
      </c>
      <c r="G13">
        <v>15</v>
      </c>
      <c r="H13">
        <f xml:space="preserve"> E13*F13*G13/100</f>
        <v>31.5</v>
      </c>
      <c r="I13">
        <f>(G$32/C$32)*H13</f>
        <v>31.210271751480558</v>
      </c>
    </row>
    <row r="15" spans="1:9" x14ac:dyDescent="0.25">
      <c r="B15" s="1" t="s">
        <v>28</v>
      </c>
    </row>
    <row r="16" spans="1:9" x14ac:dyDescent="0.25">
      <c r="A16" t="s">
        <v>66</v>
      </c>
      <c r="B16" s="1" t="s">
        <v>0</v>
      </c>
      <c r="C16" s="1" t="s">
        <v>37</v>
      </c>
      <c r="D16" s="1" t="s">
        <v>38</v>
      </c>
      <c r="E16" s="1" t="s">
        <v>39</v>
      </c>
      <c r="F16" s="1" t="s">
        <v>40</v>
      </c>
      <c r="G16" s="1" t="s">
        <v>41</v>
      </c>
      <c r="H16" s="1" t="s">
        <v>107</v>
      </c>
      <c r="I16" s="1" t="s">
        <v>245</v>
      </c>
    </row>
    <row r="17" spans="1:9" x14ac:dyDescent="0.25">
      <c r="B17">
        <v>1750</v>
      </c>
      <c r="C17">
        <f>H2</f>
        <v>48</v>
      </c>
    </row>
    <row r="18" spans="1:9" x14ac:dyDescent="0.25">
      <c r="A18" t="s">
        <v>16</v>
      </c>
      <c r="B18" s="1">
        <v>1800</v>
      </c>
      <c r="C18">
        <f>H2</f>
        <v>48</v>
      </c>
      <c r="D18">
        <f>sources_consumption!D4</f>
        <v>9959.5294117647063</v>
      </c>
      <c r="F18">
        <f>(D18/D$33)*100</f>
        <v>32.464446038888546</v>
      </c>
      <c r="G18">
        <f t="shared" ref="G18:G33" si="2">(F18/F$33)*C$33</f>
        <v>15.339450753374837</v>
      </c>
      <c r="H18">
        <f>I2</f>
        <v>15.339450753374837</v>
      </c>
      <c r="I18">
        <f t="shared" ref="I18:I33" si="3">(H18/G18)*100</f>
        <v>100</v>
      </c>
    </row>
    <row r="19" spans="1:9" x14ac:dyDescent="0.25">
      <c r="A19" t="s">
        <v>59</v>
      </c>
      <c r="B19" s="1">
        <v>1830</v>
      </c>
      <c r="C19">
        <f>H2+H3</f>
        <v>75</v>
      </c>
      <c r="E19">
        <f>_xlfn.FORECAST.LINEAR(B19,D$18:D$23,B$18:B$23)</f>
        <v>13165.372039724985</v>
      </c>
      <c r="F19">
        <f>(E19/D$33)*100</f>
        <v>42.914327825636953</v>
      </c>
      <c r="G19">
        <f t="shared" si="2"/>
        <v>20.27701989761346</v>
      </c>
      <c r="H19">
        <f>I2+I3</f>
        <v>22.639177916515685</v>
      </c>
      <c r="I19">
        <f t="shared" si="3"/>
        <v>111.64943384594817</v>
      </c>
    </row>
    <row r="20" spans="1:9" x14ac:dyDescent="0.25">
      <c r="A20" t="s">
        <v>67</v>
      </c>
      <c r="B20" s="1">
        <v>1875</v>
      </c>
      <c r="C20">
        <f>H4+H5</f>
        <v>129.6</v>
      </c>
      <c r="E20">
        <f>_xlfn.FORECAST.LINEAR(B20,D$18:D$23,B$18:B$23)</f>
        <v>17974.1359816654</v>
      </c>
      <c r="F20">
        <f>(E20/D$33)*100</f>
        <v>58.589150505759555</v>
      </c>
      <c r="G20">
        <f t="shared" si="2"/>
        <v>27.683373613971391</v>
      </c>
      <c r="H20">
        <f>I4+I5</f>
        <v>27.683373613971391</v>
      </c>
      <c r="I20">
        <f t="shared" si="3"/>
        <v>100</v>
      </c>
    </row>
    <row r="21" spans="1:9" x14ac:dyDescent="0.25">
      <c r="B21">
        <v>1880</v>
      </c>
      <c r="C21">
        <f>H4+H5</f>
        <v>129.6</v>
      </c>
      <c r="E21">
        <f>_xlfn.FORECAST.LINEAR(B21,D$18:D$23,B$18:B$23)</f>
        <v>18508.443086325453</v>
      </c>
      <c r="F21">
        <f>(E21/D$33)*100</f>
        <v>60.330797470217647</v>
      </c>
      <c r="G21">
        <f t="shared" si="2"/>
        <v>28.506301804677836</v>
      </c>
      <c r="H21">
        <f>I4+I5</f>
        <v>27.683373613971391</v>
      </c>
      <c r="I21">
        <f t="shared" si="3"/>
        <v>97.113170988137782</v>
      </c>
    </row>
    <row r="22" spans="1:9" x14ac:dyDescent="0.25">
      <c r="B22">
        <v>1900</v>
      </c>
      <c r="C22">
        <f>H4+H5</f>
        <v>129.6</v>
      </c>
      <c r="E22">
        <f>_xlfn.FORECAST.LINEAR(B22,D$18:D$23,B$18:B$23)</f>
        <v>20645.671504965634</v>
      </c>
      <c r="F22">
        <f>(E22/D$33)*100</f>
        <v>67.297385328049913</v>
      </c>
      <c r="G22">
        <f t="shared" si="2"/>
        <v>31.798014567503582</v>
      </c>
      <c r="H22">
        <f>I4+I5</f>
        <v>27.683373613971391</v>
      </c>
      <c r="I22">
        <f t="shared" si="3"/>
        <v>87.060069600266161</v>
      </c>
    </row>
    <row r="23" spans="1:9" x14ac:dyDescent="0.25">
      <c r="B23" s="1">
        <v>1910</v>
      </c>
      <c r="D23">
        <f>sources_consumption!D17</f>
        <v>21714.285714285717</v>
      </c>
      <c r="F23">
        <f>(D23/D$33)*100</f>
        <v>70.78067925696601</v>
      </c>
      <c r="G23">
        <f t="shared" si="2"/>
        <v>33.443870948916441</v>
      </c>
      <c r="H23">
        <f>I4+I5</f>
        <v>27.683373613971391</v>
      </c>
      <c r="I23">
        <f t="shared" si="3"/>
        <v>82.775626231353812</v>
      </c>
    </row>
    <row r="24" spans="1:9" x14ac:dyDescent="0.25">
      <c r="A24" t="s">
        <v>68</v>
      </c>
      <c r="B24" s="1">
        <v>1928</v>
      </c>
      <c r="C24">
        <f>H6+H7</f>
        <v>132.80000000000001</v>
      </c>
      <c r="E24">
        <f>_xlfn.FORECAST.LINEAR(B24,D$23:D$25,B$23:B$25)</f>
        <v>30214.400000000023</v>
      </c>
      <c r="F24">
        <f>(E24/D$33)*100</f>
        <v>98.487962417050838</v>
      </c>
      <c r="G24">
        <f t="shared" si="2"/>
        <v>46.535562242056521</v>
      </c>
      <c r="H24">
        <f>I6+I7</f>
        <v>46.535562242056514</v>
      </c>
      <c r="I24">
        <f t="shared" si="3"/>
        <v>99.999999999999986</v>
      </c>
    </row>
    <row r="25" spans="1:9" x14ac:dyDescent="0.25">
      <c r="B25" s="1">
        <v>1935</v>
      </c>
      <c r="C25">
        <f>H6+H7</f>
        <v>132.80000000000001</v>
      </c>
      <c r="D25">
        <f>sources_consumption!D23</f>
        <v>33519.999999999993</v>
      </c>
      <c r="F25">
        <f>(D25/D$33)*100</f>
        <v>109.26301697930592</v>
      </c>
      <c r="G25">
        <f t="shared" si="2"/>
        <v>51.626775522722042</v>
      </c>
      <c r="H25">
        <f>I6+I7</f>
        <v>46.535562242056514</v>
      </c>
      <c r="I25">
        <f t="shared" si="3"/>
        <v>90.138424821002474</v>
      </c>
    </row>
    <row r="26" spans="1:9" x14ac:dyDescent="0.25">
      <c r="A26" t="s">
        <v>27</v>
      </c>
      <c r="B26" s="1">
        <v>1960</v>
      </c>
      <c r="C26">
        <f>H8+H9+H10</f>
        <v>111.12</v>
      </c>
      <c r="E26">
        <f>_xlfn.FORECAST.LINEAR(B26,D$25:D$28,B$25:B$28)</f>
        <v>28466.938775510236</v>
      </c>
      <c r="F26">
        <f>(E26/D$33)*100</f>
        <v>92.791873949207556</v>
      </c>
      <c r="G26">
        <f t="shared" si="2"/>
        <v>43.844160441000575</v>
      </c>
      <c r="H26">
        <f>I8+I9+I10</f>
        <v>36.776156551683812</v>
      </c>
      <c r="I26">
        <f t="shared" si="3"/>
        <v>83.879258222248538</v>
      </c>
    </row>
    <row r="27" spans="1:9" x14ac:dyDescent="0.25">
      <c r="A27" t="s">
        <v>69</v>
      </c>
      <c r="B27" s="1">
        <v>1966</v>
      </c>
      <c r="C27">
        <f>H8+H9+H10+H11</f>
        <v>142.48000000000002</v>
      </c>
      <c r="E27">
        <f>_xlfn.FORECAST.LINEAR(B27,D$25:D$28,B$25:B$28)</f>
        <v>27254.204081632663</v>
      </c>
      <c r="F27">
        <f>(E27/D$33)*100</f>
        <v>88.838799621983853</v>
      </c>
      <c r="G27">
        <f t="shared" si="2"/>
        <v>41.976332821387373</v>
      </c>
      <c r="H27">
        <f>I8+I9+I10+I11</f>
        <v>46.55884566618434</v>
      </c>
      <c r="I27">
        <f t="shared" si="3"/>
        <v>110.91689658621662</v>
      </c>
    </row>
    <row r="28" spans="1:9" x14ac:dyDescent="0.25">
      <c r="B28">
        <v>1970</v>
      </c>
      <c r="C28">
        <f>H8+H9+H10+H11</f>
        <v>142.48000000000002</v>
      </c>
      <c r="D28">
        <f>sources_consumption!D36</f>
        <v>26445.714285714286</v>
      </c>
      <c r="F28">
        <f>(D28/D$33)*100</f>
        <v>86.20341673716807</v>
      </c>
      <c r="G28">
        <f t="shared" si="2"/>
        <v>40.73111440831191</v>
      </c>
      <c r="H28">
        <f>I8+I9+I10+I11</f>
        <v>46.55884566618434</v>
      </c>
      <c r="I28">
        <f t="shared" si="3"/>
        <v>114.30781195783628</v>
      </c>
    </row>
    <row r="29" spans="1:9" x14ac:dyDescent="0.25">
      <c r="A29" t="s">
        <v>29</v>
      </c>
      <c r="B29" s="1">
        <v>1975</v>
      </c>
      <c r="C29">
        <f>H9+H10+H11</f>
        <v>134.80000000000001</v>
      </c>
      <c r="E29">
        <f>_xlfn.FORECAST.LINEAR(B29,D$28:D$33,B$28:B$33)</f>
        <v>27151.139725714311</v>
      </c>
      <c r="F29">
        <f>(E29/D$33)*100</f>
        <v>88.502847280973469</v>
      </c>
      <c r="G29">
        <f t="shared" si="2"/>
        <v>41.817595340259963</v>
      </c>
      <c r="H29">
        <f>I9+I10+I11</f>
        <v>40.257365329017013</v>
      </c>
      <c r="I29">
        <f t="shared" si="3"/>
        <v>96.268962864679992</v>
      </c>
    </row>
    <row r="30" spans="1:9" x14ac:dyDescent="0.25">
      <c r="B30">
        <v>1980</v>
      </c>
      <c r="C30">
        <f>H9+H10+H11</f>
        <v>134.80000000000001</v>
      </c>
      <c r="E30">
        <f>_xlfn.FORECAST.LINEAR(B30,D$28:D$33,B$28:B$33)</f>
        <v>27856.565165714273</v>
      </c>
      <c r="F30">
        <f>(E30/D$33)*100</f>
        <v>90.80227782477867</v>
      </c>
      <c r="G30">
        <f t="shared" si="2"/>
        <v>42.904076272207917</v>
      </c>
      <c r="H30">
        <f>I9+I10+I11</f>
        <v>40.257365329017013</v>
      </c>
      <c r="I30">
        <f t="shared" si="3"/>
        <v>93.831096778780037</v>
      </c>
    </row>
    <row r="31" spans="1:9" x14ac:dyDescent="0.25">
      <c r="B31">
        <v>1982</v>
      </c>
      <c r="C31">
        <f>H9+H11</f>
        <v>121.36</v>
      </c>
      <c r="E31">
        <f>_xlfn.FORECAST.LINEAR(B31,D$28:D$33,B$28:B$33)</f>
        <v>28138.735341714259</v>
      </c>
      <c r="F31">
        <f>(E31/D$33)*100</f>
        <v>91.722050042300751</v>
      </c>
      <c r="G31">
        <f t="shared" si="2"/>
        <v>43.338668644987102</v>
      </c>
      <c r="H31">
        <f>I9+I11</f>
        <v>36.29777862829097</v>
      </c>
      <c r="I31">
        <f t="shared" si="3"/>
        <v>83.753792544085144</v>
      </c>
    </row>
    <row r="32" spans="1:9" x14ac:dyDescent="0.25">
      <c r="A32" t="s">
        <v>30</v>
      </c>
      <c r="B32" s="1">
        <v>1998</v>
      </c>
      <c r="C32">
        <f>H12+H13</f>
        <v>47.25</v>
      </c>
      <c r="E32">
        <f>_xlfn.FORECAST.LINEAR(B32,D$28:D$33,B$28:B$33)</f>
        <v>30396.096749714314</v>
      </c>
      <c r="F32">
        <f>(E32/D$33)*100</f>
        <v>99.080227782477962</v>
      </c>
      <c r="G32">
        <f t="shared" si="2"/>
        <v>46.815407627220836</v>
      </c>
      <c r="H32">
        <f>I12+I13</f>
        <v>46.960271751480562</v>
      </c>
      <c r="I32">
        <f t="shared" si="3"/>
        <v>100.30943685338221</v>
      </c>
    </row>
    <row r="33" spans="1:9" x14ac:dyDescent="0.25">
      <c r="A33" t="s">
        <v>149</v>
      </c>
      <c r="B33" s="1">
        <v>2000</v>
      </c>
      <c r="C33">
        <f>H12+H13</f>
        <v>47.25</v>
      </c>
      <c r="D33">
        <f>sources_consumption!D43</f>
        <v>30678.266925714288</v>
      </c>
      <c r="F33">
        <v>100</v>
      </c>
      <c r="G33">
        <f t="shared" si="2"/>
        <v>47.25</v>
      </c>
      <c r="H33">
        <f>I12+I13</f>
        <v>46.960271751480562</v>
      </c>
      <c r="I33">
        <f t="shared" si="3"/>
        <v>99.386818521651989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428EB-A208-48DF-A0A9-57FE426D15B7}">
  <dimension ref="A1:I29"/>
  <sheetViews>
    <sheetView workbookViewId="0">
      <selection activeCell="E10" sqref="E10"/>
    </sheetView>
  </sheetViews>
  <sheetFormatPr defaultRowHeight="15" x14ac:dyDescent="0.25"/>
  <cols>
    <col min="1" max="1" width="17" customWidth="1"/>
    <col min="2" max="2" width="13.7109375" customWidth="1"/>
    <col min="3" max="3" width="13" customWidth="1"/>
    <col min="4" max="4" width="19.7109375" customWidth="1"/>
    <col min="5" max="5" width="19.85546875" customWidth="1"/>
    <col min="6" max="6" width="15.28515625" customWidth="1"/>
    <col min="7" max="7" width="15.140625" customWidth="1"/>
    <col min="8" max="8" width="17" customWidth="1"/>
  </cols>
  <sheetData>
    <row r="1" spans="1:9" x14ac:dyDescent="0.25">
      <c r="A1" s="1" t="s">
        <v>12</v>
      </c>
      <c r="B1" s="1" t="s">
        <v>13</v>
      </c>
      <c r="C1" s="1" t="s">
        <v>14</v>
      </c>
      <c r="D1" s="1" t="s">
        <v>15</v>
      </c>
      <c r="E1" s="1" t="s">
        <v>17</v>
      </c>
      <c r="F1" s="1" t="s">
        <v>18</v>
      </c>
      <c r="G1" s="1" t="s">
        <v>19</v>
      </c>
      <c r="H1" s="1" t="s">
        <v>20</v>
      </c>
      <c r="I1" s="1" t="s">
        <v>106</v>
      </c>
    </row>
    <row r="2" spans="1:9" x14ac:dyDescent="0.25">
      <c r="A2" t="s">
        <v>150</v>
      </c>
      <c r="B2">
        <v>1810</v>
      </c>
      <c r="C2">
        <v>1860</v>
      </c>
      <c r="D2">
        <f xml:space="preserve"> (B2+C2)/2</f>
        <v>1835</v>
      </c>
      <c r="E2">
        <v>8</v>
      </c>
      <c r="F2">
        <v>4</v>
      </c>
      <c r="G2">
        <v>33</v>
      </c>
      <c r="H2">
        <f xml:space="preserve"> E2*F2*G2/100</f>
        <v>10.56</v>
      </c>
      <c r="I2">
        <f>(G$17/C$17)*H2</f>
        <v>4.7066184924091017</v>
      </c>
    </row>
    <row r="3" spans="1:9" x14ac:dyDescent="0.25">
      <c r="A3" t="s">
        <v>151</v>
      </c>
      <c r="B3">
        <v>1861</v>
      </c>
      <c r="C3">
        <v>1900</v>
      </c>
      <c r="D3">
        <f t="shared" ref="D3:D5" si="0" xml:space="preserve"> (B3+C3)/2</f>
        <v>1880.5</v>
      </c>
      <c r="E3">
        <v>28</v>
      </c>
      <c r="F3">
        <v>4</v>
      </c>
      <c r="G3">
        <v>33</v>
      </c>
      <c r="H3">
        <f t="shared" ref="H3:H5" si="1" xml:space="preserve"> E3*F3*G3/100</f>
        <v>36.96</v>
      </c>
      <c r="I3">
        <f>(G$18/C$18)*H3</f>
        <v>13.178531778745542</v>
      </c>
    </row>
    <row r="4" spans="1:9" x14ac:dyDescent="0.25">
      <c r="A4" t="s">
        <v>152</v>
      </c>
      <c r="B4">
        <v>1900</v>
      </c>
      <c r="C4">
        <v>1945</v>
      </c>
      <c r="D4">
        <f t="shared" si="0"/>
        <v>1922.5</v>
      </c>
      <c r="E4">
        <v>45</v>
      </c>
      <c r="F4">
        <v>8</v>
      </c>
      <c r="G4">
        <v>33</v>
      </c>
      <c r="H4">
        <f t="shared" si="1"/>
        <v>118.8</v>
      </c>
      <c r="I4">
        <f>(G$19/C$19)*H4</f>
        <v>21.27391558568927</v>
      </c>
    </row>
    <row r="5" spans="1:9" x14ac:dyDescent="0.25">
      <c r="A5" t="s">
        <v>153</v>
      </c>
      <c r="B5">
        <v>1945</v>
      </c>
      <c r="C5">
        <v>1975</v>
      </c>
      <c r="D5">
        <f t="shared" si="0"/>
        <v>1960</v>
      </c>
      <c r="E5">
        <v>24</v>
      </c>
      <c r="F5">
        <v>8</v>
      </c>
      <c r="G5">
        <v>33</v>
      </c>
      <c r="H5">
        <f t="shared" si="1"/>
        <v>63.36</v>
      </c>
      <c r="I5">
        <f>(G$21/C$21)*H5</f>
        <v>25.361457316944268</v>
      </c>
    </row>
    <row r="6" spans="1:9" x14ac:dyDescent="0.25">
      <c r="A6" t="s">
        <v>31</v>
      </c>
      <c r="B6">
        <v>1951</v>
      </c>
      <c r="C6">
        <v>1982</v>
      </c>
      <c r="D6">
        <f t="shared" ref="D6:D11" si="2" xml:space="preserve"> (B6+C6)/2</f>
        <v>1966.5</v>
      </c>
      <c r="E6">
        <f>dist_calculations!$B$37</f>
        <v>12</v>
      </c>
      <c r="F6">
        <v>7</v>
      </c>
      <c r="G6">
        <v>20</v>
      </c>
      <c r="H6">
        <f t="shared" ref="H6:H11" si="3" xml:space="preserve"> E6*F6*G6/100</f>
        <v>16.8</v>
      </c>
      <c r="I6">
        <f>((G$22-I5)/(C$22-H5))*H6</f>
        <v>8.7773473193830416</v>
      </c>
    </row>
    <row r="7" spans="1:9" x14ac:dyDescent="0.25">
      <c r="A7" t="s">
        <v>29</v>
      </c>
      <c r="B7">
        <v>1961</v>
      </c>
      <c r="C7">
        <v>1990</v>
      </c>
      <c r="D7">
        <f t="shared" si="2"/>
        <v>1975.5</v>
      </c>
      <c r="E7">
        <v>14</v>
      </c>
      <c r="F7">
        <v>14</v>
      </c>
      <c r="G7">
        <v>20</v>
      </c>
      <c r="H7">
        <f t="shared" si="3"/>
        <v>39.200000000000003</v>
      </c>
      <c r="I7">
        <f>((G24-I6)/(C24-H6))*H7</f>
        <v>35.230389036081498</v>
      </c>
    </row>
    <row r="8" spans="1:9" x14ac:dyDescent="0.25">
      <c r="A8" t="s">
        <v>154</v>
      </c>
      <c r="B8">
        <v>1975</v>
      </c>
      <c r="C8">
        <v>2010</v>
      </c>
      <c r="D8">
        <f t="shared" si="2"/>
        <v>1992.5</v>
      </c>
      <c r="E8">
        <v>2</v>
      </c>
      <c r="F8">
        <v>8</v>
      </c>
      <c r="G8">
        <v>26</v>
      </c>
      <c r="H8">
        <f t="shared" si="3"/>
        <v>4.16</v>
      </c>
      <c r="I8">
        <f>((G$27)/(C$27))*H8</f>
        <v>3.5877350977557074</v>
      </c>
    </row>
    <row r="9" spans="1:9" x14ac:dyDescent="0.25">
      <c r="A9" t="s">
        <v>221</v>
      </c>
      <c r="B9">
        <v>1975</v>
      </c>
      <c r="C9">
        <v>2010</v>
      </c>
      <c r="D9">
        <f t="shared" si="2"/>
        <v>1992.5</v>
      </c>
      <c r="E9">
        <v>18</v>
      </c>
      <c r="F9">
        <v>32</v>
      </c>
      <c r="G9">
        <v>5</v>
      </c>
      <c r="H9">
        <f t="shared" si="3"/>
        <v>28.8</v>
      </c>
      <c r="I9">
        <f>((G$27)/(C$27))*H9</f>
        <v>24.838166061385667</v>
      </c>
    </row>
    <row r="10" spans="1:9" x14ac:dyDescent="0.25">
      <c r="A10" t="s">
        <v>30</v>
      </c>
      <c r="B10">
        <v>1985</v>
      </c>
      <c r="C10">
        <v>2010</v>
      </c>
      <c r="D10">
        <f t="shared" si="2"/>
        <v>1997.5</v>
      </c>
      <c r="E10">
        <f>dist_calculations!E$45</f>
        <v>10</v>
      </c>
      <c r="F10">
        <v>21</v>
      </c>
      <c r="G10">
        <v>17</v>
      </c>
      <c r="H10">
        <f t="shared" si="3"/>
        <v>35.700000000000003</v>
      </c>
      <c r="I10">
        <f>((G$28-I9-I8)/(C$28-H9-H8))*H10</f>
        <v>36.45594516619731</v>
      </c>
    </row>
    <row r="11" spans="1:9" x14ac:dyDescent="0.25">
      <c r="A11" t="s">
        <v>149</v>
      </c>
      <c r="B11">
        <v>1990</v>
      </c>
      <c r="C11">
        <v>2010</v>
      </c>
      <c r="D11">
        <f t="shared" si="2"/>
        <v>2000</v>
      </c>
      <c r="E11">
        <f>dist_calculations!E$44</f>
        <v>15</v>
      </c>
      <c r="F11">
        <v>7</v>
      </c>
      <c r="G11">
        <v>17</v>
      </c>
      <c r="H11">
        <f t="shared" si="3"/>
        <v>17.850000000000001</v>
      </c>
      <c r="I11">
        <f>((G$29-I10-I9-I8)/(C$29-H10-H9-H8))*H11</f>
        <v>21.628153674661323</v>
      </c>
    </row>
    <row r="13" spans="1:9" x14ac:dyDescent="0.25">
      <c r="B13" s="1" t="s">
        <v>28</v>
      </c>
    </row>
    <row r="14" spans="1:9" x14ac:dyDescent="0.25">
      <c r="A14" t="s">
        <v>66</v>
      </c>
      <c r="B14" s="1" t="s">
        <v>0</v>
      </c>
      <c r="C14" s="1" t="s">
        <v>37</v>
      </c>
      <c r="D14" s="1" t="s">
        <v>38</v>
      </c>
      <c r="E14" s="1" t="s">
        <v>39</v>
      </c>
      <c r="F14" s="1" t="s">
        <v>40</v>
      </c>
      <c r="G14" s="1" t="s">
        <v>41</v>
      </c>
      <c r="H14" s="1" t="s">
        <v>107</v>
      </c>
      <c r="I14" s="1" t="s">
        <v>245</v>
      </c>
    </row>
    <row r="16" spans="1:9" x14ac:dyDescent="0.25">
      <c r="B16">
        <v>1810</v>
      </c>
      <c r="D16">
        <v>0</v>
      </c>
    </row>
    <row r="17" spans="1:9" x14ac:dyDescent="0.25">
      <c r="A17" t="s">
        <v>222</v>
      </c>
      <c r="B17" s="1">
        <v>1835</v>
      </c>
      <c r="C17">
        <f>H2</f>
        <v>10.56</v>
      </c>
      <c r="E17">
        <f>_xlfn.FORECAST.LINEAR(B17,D$16:D$20,B$16:B$20)</f>
        <v>2331.4285714285506</v>
      </c>
      <c r="F17">
        <f t="shared" ref="F17:F22" si="4">(E17/D$29)*100</f>
        <v>5.4405484827292829</v>
      </c>
      <c r="G17">
        <f t="shared" ref="G17:G29" si="5">(F17/F$29)*C$29</f>
        <v>4.7066184924091017</v>
      </c>
      <c r="H17">
        <f>I2</f>
        <v>4.7066184924091017</v>
      </c>
      <c r="I17">
        <f t="shared" ref="I17:I29" si="6">(H17/G17)*100</f>
        <v>100</v>
      </c>
    </row>
    <row r="18" spans="1:9" x14ac:dyDescent="0.25">
      <c r="A18" t="s">
        <v>151</v>
      </c>
      <c r="B18" s="1">
        <v>1880</v>
      </c>
      <c r="C18">
        <f>H3</f>
        <v>36.96</v>
      </c>
      <c r="E18">
        <f>_xlfn.FORECAST.LINEAR(B18,D$16:D$20,B$16:B$20)</f>
        <v>6527.9999999999709</v>
      </c>
      <c r="F18">
        <f t="shared" si="4"/>
        <v>15.233535751642059</v>
      </c>
      <c r="G18">
        <f t="shared" si="5"/>
        <v>13.178531778745542</v>
      </c>
      <c r="H18">
        <f>I3</f>
        <v>13.178531778745542</v>
      </c>
      <c r="I18">
        <f t="shared" si="6"/>
        <v>100</v>
      </c>
    </row>
    <row r="19" spans="1:9" x14ac:dyDescent="0.25">
      <c r="A19" t="s">
        <v>152</v>
      </c>
      <c r="B19" s="1">
        <v>1923</v>
      </c>
      <c r="C19">
        <f>H4</f>
        <v>118.8</v>
      </c>
      <c r="E19">
        <f>_xlfn.FORECAST.LINEAR(B19,D$16:D$20,B$16:B$20)</f>
        <v>10538.057142857113</v>
      </c>
      <c r="F19">
        <f t="shared" si="4"/>
        <v>24.591279141936507</v>
      </c>
      <c r="G19">
        <f t="shared" si="5"/>
        <v>21.27391558568927</v>
      </c>
      <c r="H19">
        <f>I4</f>
        <v>21.27391558568927</v>
      </c>
      <c r="I19">
        <f t="shared" si="6"/>
        <v>100</v>
      </c>
    </row>
    <row r="20" spans="1:9" x14ac:dyDescent="0.25">
      <c r="B20">
        <v>1935</v>
      </c>
      <c r="C20">
        <f>H4</f>
        <v>118.8</v>
      </c>
      <c r="D20">
        <f>sources_consumption!D25</f>
        <v>11657.142857142857</v>
      </c>
      <c r="F20">
        <f>(D20/D$29)*100</f>
        <v>27.202742413646654</v>
      </c>
      <c r="G20">
        <f t="shared" si="5"/>
        <v>23.533092462045715</v>
      </c>
      <c r="H20">
        <f>I4</f>
        <v>21.27391558568927</v>
      </c>
      <c r="I20">
        <f t="shared" si="6"/>
        <v>90.399999999999764</v>
      </c>
    </row>
    <row r="21" spans="1:9" x14ac:dyDescent="0.25">
      <c r="A21" t="s">
        <v>153</v>
      </c>
      <c r="B21" s="1">
        <v>1960</v>
      </c>
      <c r="C21">
        <f>H5+H6</f>
        <v>80.16</v>
      </c>
      <c r="E21">
        <f>_xlfn.FORECAST.LINEAR(B21,D$20:D$23,B$20:B$23)</f>
        <v>15893.877551020414</v>
      </c>
      <c r="F21">
        <f t="shared" si="4"/>
        <v>37.089453416925814</v>
      </c>
      <c r="G21">
        <f t="shared" si="5"/>
        <v>32.086086150982517</v>
      </c>
      <c r="H21">
        <f>I5+I6</f>
        <v>34.138804636327308</v>
      </c>
      <c r="I21">
        <f t="shared" si="6"/>
        <v>106.39753466872099</v>
      </c>
    </row>
    <row r="22" spans="1:9" x14ac:dyDescent="0.25">
      <c r="A22" t="s">
        <v>31</v>
      </c>
      <c r="B22" s="1">
        <v>1966</v>
      </c>
      <c r="C22">
        <f>H5+H6</f>
        <v>80.16</v>
      </c>
      <c r="E22">
        <f>_xlfn.FORECAST.LINEAR(B22,D$20:D$23,B$20:B$23)</f>
        <v>16910.693877551006</v>
      </c>
      <c r="F22">
        <f t="shared" si="4"/>
        <v>39.462264057712758</v>
      </c>
      <c r="G22">
        <f t="shared" si="5"/>
        <v>34.138804636327308</v>
      </c>
      <c r="H22">
        <f>I5+I6</f>
        <v>34.138804636327308</v>
      </c>
      <c r="I22">
        <f t="shared" si="6"/>
        <v>100</v>
      </c>
    </row>
    <row r="23" spans="1:9" x14ac:dyDescent="0.25">
      <c r="B23">
        <v>1970</v>
      </c>
      <c r="C23">
        <f>H5+H6+H7</f>
        <v>119.36</v>
      </c>
      <c r="D23">
        <f>sources_consumption!D38</f>
        <v>17588.571428571431</v>
      </c>
      <c r="F23">
        <f>(D23/D$29)*100</f>
        <v>41.044137818237459</v>
      </c>
      <c r="G23">
        <f t="shared" si="5"/>
        <v>35.507283626557225</v>
      </c>
      <c r="H23">
        <f>I6+I7</f>
        <v>44.007736355464537</v>
      </c>
      <c r="I23">
        <f t="shared" si="6"/>
        <v>123.94002542776745</v>
      </c>
    </row>
    <row r="24" spans="1:9" x14ac:dyDescent="0.25">
      <c r="A24" t="s">
        <v>29</v>
      </c>
      <c r="B24" s="1">
        <v>1975</v>
      </c>
      <c r="C24">
        <f>H6+H7</f>
        <v>56</v>
      </c>
      <c r="E24">
        <f>_xlfn.FORECAST.LINEAR(B24,D$23:D$29,B$23:B$29)</f>
        <v>21799.279900952475</v>
      </c>
      <c r="F24">
        <f>(E24/D$29)*100</f>
        <v>50.870114848531436</v>
      </c>
      <c r="G24">
        <f t="shared" si="5"/>
        <v>44.007736355464537</v>
      </c>
      <c r="H24">
        <f>I6+I7</f>
        <v>44.007736355464537</v>
      </c>
      <c r="I24">
        <f t="shared" si="6"/>
        <v>100</v>
      </c>
    </row>
    <row r="25" spans="1:9" x14ac:dyDescent="0.25">
      <c r="B25">
        <v>1980</v>
      </c>
      <c r="C25">
        <f>H6+H7+H8+H9</f>
        <v>88.96</v>
      </c>
      <c r="E25">
        <f>_xlfn.FORECAST.LINEAR(B25,D$23:D$29,B$23:B$29)</f>
        <v>26009.988373333355</v>
      </c>
      <c r="F25">
        <f>(E25/D$29)*100</f>
        <v>60.696091878825023</v>
      </c>
      <c r="G25">
        <f t="shared" si="5"/>
        <v>52.508189084371523</v>
      </c>
      <c r="H25">
        <f>I7+I8+I9</f>
        <v>63.656290195222866</v>
      </c>
      <c r="I25">
        <f t="shared" si="6"/>
        <v>121.23116661467468</v>
      </c>
    </row>
    <row r="26" spans="1:9" x14ac:dyDescent="0.25">
      <c r="B26">
        <v>1982</v>
      </c>
      <c r="C26">
        <f>H7+H8+H9</f>
        <v>72.16</v>
      </c>
      <c r="E26">
        <f>_xlfn.FORECAST.LINEAR(B26,D$23:D$29,B$23:B$29)</f>
        <v>27694.271762285847</v>
      </c>
      <c r="F26">
        <f>(E26/D$29)*100</f>
        <v>64.62648269094278</v>
      </c>
      <c r="G26">
        <f t="shared" si="5"/>
        <v>55.908370175934593</v>
      </c>
      <c r="H26">
        <f>I7+I8+I9</f>
        <v>63.656290195222866</v>
      </c>
      <c r="I26">
        <f t="shared" si="6"/>
        <v>113.85824697609111</v>
      </c>
    </row>
    <row r="27" spans="1:9" x14ac:dyDescent="0.25">
      <c r="A27" t="s">
        <v>223</v>
      </c>
      <c r="B27" s="1">
        <v>1993</v>
      </c>
      <c r="C27">
        <f>H8+H9+H10+H11</f>
        <v>86.509999999999991</v>
      </c>
      <c r="E27">
        <f>_xlfn.FORECAST.LINEAR(B27,D$23:D$29,B$23:B$29)</f>
        <v>36957.83040152397</v>
      </c>
      <c r="F27">
        <f>(E27/D$29)*100</f>
        <v>86.243632157589118</v>
      </c>
      <c r="G27">
        <f t="shared" si="5"/>
        <v>74.60936617953034</v>
      </c>
      <c r="H27">
        <f>I8+I9+I10+I11</f>
        <v>86.51</v>
      </c>
      <c r="I27">
        <f t="shared" si="6"/>
        <v>115.95058962414117</v>
      </c>
    </row>
    <row r="28" spans="1:9" x14ac:dyDescent="0.25">
      <c r="A28" t="s">
        <v>30</v>
      </c>
      <c r="B28" s="1">
        <v>1998</v>
      </c>
      <c r="C28">
        <f>H8+H9+H10+H11</f>
        <v>86.509999999999991</v>
      </c>
      <c r="E28">
        <f>_xlfn.FORECAST.LINEAR(B28,D$23:D$29,B$23:B$29)</f>
        <v>41168.53887390485</v>
      </c>
      <c r="F28">
        <f>(E28/D$29)*100</f>
        <v>96.069609187882705</v>
      </c>
      <c r="G28">
        <f t="shared" si="5"/>
        <v>83.109818908437319</v>
      </c>
      <c r="H28">
        <f>I8+I9+I10+I11</f>
        <v>86.51</v>
      </c>
      <c r="I28">
        <f t="shared" si="6"/>
        <v>104.09119059122088</v>
      </c>
    </row>
    <row r="29" spans="1:9" x14ac:dyDescent="0.25">
      <c r="A29" t="s">
        <v>149</v>
      </c>
      <c r="B29" s="1">
        <v>2000</v>
      </c>
      <c r="C29">
        <f>H8+H9+H10+H11</f>
        <v>86.509999999999991</v>
      </c>
      <c r="D29">
        <f>sources_consumption!D45</f>
        <v>42852.822262857146</v>
      </c>
      <c r="F29">
        <v>100</v>
      </c>
      <c r="G29">
        <f t="shared" si="5"/>
        <v>86.509999999999991</v>
      </c>
      <c r="H29">
        <f>I8+I9+I10+I11</f>
        <v>86.51</v>
      </c>
      <c r="I29">
        <f t="shared" si="6"/>
        <v>100.00000000000003</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76AB8-5942-446D-8291-1F109BF6ADCC}">
  <dimension ref="A1:I23"/>
  <sheetViews>
    <sheetView workbookViewId="0">
      <selection activeCell="I8" sqref="I8"/>
    </sheetView>
  </sheetViews>
  <sheetFormatPr defaultRowHeight="15" x14ac:dyDescent="0.25"/>
  <cols>
    <col min="1" max="1" width="21" customWidth="1"/>
    <col min="6" max="7" width="13.7109375" customWidth="1"/>
    <col min="8" max="8" width="16.7109375" customWidth="1"/>
    <col min="9" max="9" width="22" customWidth="1"/>
  </cols>
  <sheetData>
    <row r="1" spans="1:9" x14ac:dyDescent="0.25">
      <c r="A1" s="1" t="s">
        <v>12</v>
      </c>
      <c r="B1" s="1" t="s">
        <v>13</v>
      </c>
      <c r="C1" s="1" t="s">
        <v>14</v>
      </c>
      <c r="D1" s="1" t="s">
        <v>15</v>
      </c>
      <c r="E1" s="1" t="s">
        <v>17</v>
      </c>
      <c r="F1" s="1" t="s">
        <v>18</v>
      </c>
      <c r="G1" s="1" t="s">
        <v>19</v>
      </c>
      <c r="H1" s="1" t="s">
        <v>20</v>
      </c>
      <c r="I1" s="1" t="s">
        <v>106</v>
      </c>
    </row>
    <row r="2" spans="1:9" x14ac:dyDescent="0.25">
      <c r="A2" t="s">
        <v>261</v>
      </c>
      <c r="B2">
        <v>1750</v>
      </c>
      <c r="C2">
        <v>1840</v>
      </c>
      <c r="D2">
        <f xml:space="preserve"> (B2+C2)/2</f>
        <v>1795</v>
      </c>
      <c r="E2">
        <v>24</v>
      </c>
      <c r="F2">
        <v>2</v>
      </c>
      <c r="G2">
        <v>67</v>
      </c>
      <c r="H2">
        <f xml:space="preserve"> E2*F2*G2/100</f>
        <v>32.159999999999997</v>
      </c>
      <c r="I2">
        <f>(G$15/C$15)*H2</f>
        <v>172.47821040918839</v>
      </c>
    </row>
    <row r="3" spans="1:9" x14ac:dyDescent="0.25">
      <c r="A3" t="s">
        <v>262</v>
      </c>
      <c r="B3">
        <v>1840</v>
      </c>
      <c r="C3">
        <v>1910</v>
      </c>
      <c r="D3">
        <f t="shared" ref="D3:D9" si="0" xml:space="preserve"> (B3+C3)/2</f>
        <v>1875</v>
      </c>
      <c r="E3">
        <v>30</v>
      </c>
      <c r="F3">
        <v>6</v>
      </c>
      <c r="G3">
        <v>80</v>
      </c>
      <c r="H3">
        <f t="shared" ref="H3:H9" si="1" xml:space="preserve"> E3*F3*G3/100</f>
        <v>144</v>
      </c>
      <c r="I3">
        <f>(G$17/C$17)*H3</f>
        <v>133.46763150574267</v>
      </c>
    </row>
    <row r="4" spans="1:9" x14ac:dyDescent="0.25">
      <c r="A4" t="s">
        <v>263</v>
      </c>
      <c r="B4">
        <v>1900</v>
      </c>
      <c r="C4">
        <v>1945</v>
      </c>
      <c r="D4">
        <f t="shared" si="0"/>
        <v>1922.5</v>
      </c>
      <c r="E4">
        <v>27</v>
      </c>
      <c r="F4">
        <v>6</v>
      </c>
      <c r="G4">
        <v>100</v>
      </c>
      <c r="H4">
        <f t="shared" si="1"/>
        <v>162</v>
      </c>
      <c r="I4">
        <f>(G$18/C$18)*H4</f>
        <v>108.50086100753754</v>
      </c>
    </row>
    <row r="5" spans="1:9" x14ac:dyDescent="0.25">
      <c r="A5" t="s">
        <v>264</v>
      </c>
      <c r="B5">
        <v>1945</v>
      </c>
      <c r="C5">
        <v>1975</v>
      </c>
      <c r="D5">
        <f t="shared" si="0"/>
        <v>1960</v>
      </c>
      <c r="E5">
        <v>24</v>
      </c>
      <c r="F5">
        <v>7</v>
      </c>
      <c r="G5">
        <v>100</v>
      </c>
      <c r="H5">
        <f t="shared" si="1"/>
        <v>168</v>
      </c>
      <c r="I5">
        <f>(G20/C20)*H5</f>
        <v>89.255642081837621</v>
      </c>
    </row>
    <row r="6" spans="1:9" x14ac:dyDescent="0.25">
      <c r="A6" t="s">
        <v>265</v>
      </c>
      <c r="B6">
        <v>1975</v>
      </c>
      <c r="C6">
        <v>2010</v>
      </c>
      <c r="D6">
        <f t="shared" si="0"/>
        <v>1992.5</v>
      </c>
      <c r="E6">
        <v>8</v>
      </c>
      <c r="F6">
        <v>4</v>
      </c>
      <c r="G6">
        <v>109</v>
      </c>
      <c r="H6">
        <f t="shared" si="1"/>
        <v>34.880000000000003</v>
      </c>
      <c r="I6">
        <f>(G$21/C$21)*H6</f>
        <v>36.735334393974227</v>
      </c>
    </row>
    <row r="7" spans="1:9" x14ac:dyDescent="0.25">
      <c r="A7" t="s">
        <v>221</v>
      </c>
      <c r="B7">
        <v>1975</v>
      </c>
      <c r="C7">
        <v>2010</v>
      </c>
      <c r="D7">
        <f t="shared" si="0"/>
        <v>1992.5</v>
      </c>
      <c r="E7">
        <v>18</v>
      </c>
      <c r="F7">
        <v>32</v>
      </c>
      <c r="G7">
        <v>2</v>
      </c>
      <c r="H7">
        <f t="shared" si="1"/>
        <v>11.52</v>
      </c>
      <c r="I7">
        <f>(G$21/C$21)*H7</f>
        <v>12.132770992505247</v>
      </c>
    </row>
    <row r="8" spans="1:9" x14ac:dyDescent="0.25">
      <c r="A8" t="s">
        <v>30</v>
      </c>
      <c r="B8">
        <v>1985</v>
      </c>
      <c r="C8">
        <v>2010</v>
      </c>
      <c r="D8">
        <f t="shared" si="0"/>
        <v>1997.5</v>
      </c>
      <c r="E8">
        <f>dist_calculations!E$45</f>
        <v>10</v>
      </c>
      <c r="F8">
        <v>21</v>
      </c>
      <c r="G8">
        <v>7</v>
      </c>
      <c r="H8">
        <f t="shared" si="1"/>
        <v>14.7</v>
      </c>
      <c r="I8">
        <f>(G$22/C$22)*H8</f>
        <v>14.923406091017524</v>
      </c>
    </row>
    <row r="9" spans="1:9" x14ac:dyDescent="0.25">
      <c r="A9" t="s">
        <v>149</v>
      </c>
      <c r="B9">
        <v>1990</v>
      </c>
      <c r="C9">
        <v>2010</v>
      </c>
      <c r="D9">
        <f t="shared" si="0"/>
        <v>2000</v>
      </c>
      <c r="E9">
        <f>dist_calculations!E$44</f>
        <v>15</v>
      </c>
      <c r="F9">
        <v>7</v>
      </c>
      <c r="G9">
        <v>7</v>
      </c>
      <c r="H9">
        <f t="shared" si="1"/>
        <v>7.35</v>
      </c>
      <c r="I9">
        <f>(G$23/C$23)*H9</f>
        <v>7.35</v>
      </c>
    </row>
    <row r="11" spans="1:9" x14ac:dyDescent="0.25">
      <c r="B11" s="1" t="s">
        <v>28</v>
      </c>
    </row>
    <row r="12" spans="1:9" x14ac:dyDescent="0.25">
      <c r="A12" t="s">
        <v>66</v>
      </c>
      <c r="B12" s="1" t="s">
        <v>0</v>
      </c>
      <c r="C12" s="1" t="s">
        <v>37</v>
      </c>
      <c r="D12" s="1" t="s">
        <v>38</v>
      </c>
      <c r="E12" s="1" t="s">
        <v>39</v>
      </c>
      <c r="F12" s="1" t="s">
        <v>40</v>
      </c>
      <c r="G12" s="1" t="s">
        <v>41</v>
      </c>
      <c r="H12" s="1" t="s">
        <v>107</v>
      </c>
      <c r="I12" s="1" t="s">
        <v>245</v>
      </c>
    </row>
    <row r="15" spans="1:9" x14ac:dyDescent="0.25">
      <c r="A15" t="s">
        <v>261</v>
      </c>
      <c r="B15" s="1">
        <v>1800</v>
      </c>
      <c r="C15">
        <f>H2</f>
        <v>32.159999999999997</v>
      </c>
      <c r="E15">
        <f>_xlfn.FORECAST.LINEAR(B15,D$16:D$23,B$16:B$23)</f>
        <v>80746.799999999988</v>
      </c>
      <c r="F15">
        <f>(E15/D$23)*100</f>
        <v>251.97693266499397</v>
      </c>
      <c r="G15">
        <f>(F15/F$23)*C$23</f>
        <v>172.47821040918839</v>
      </c>
      <c r="H15">
        <f>I2</f>
        <v>172.47821040918839</v>
      </c>
      <c r="I15">
        <f t="shared" ref="I15:I23" si="2">(H15/G15)*100</f>
        <v>100</v>
      </c>
    </row>
    <row r="16" spans="1:9" x14ac:dyDescent="0.25">
      <c r="B16">
        <v>1850</v>
      </c>
      <c r="D16">
        <f>sources_consumption!D9</f>
        <v>68571.428571428565</v>
      </c>
    </row>
    <row r="17" spans="1:9" x14ac:dyDescent="0.25">
      <c r="B17" s="1">
        <v>1875</v>
      </c>
      <c r="C17">
        <f>H3</f>
        <v>144</v>
      </c>
      <c r="E17">
        <f t="shared" ref="E17:E22" si="3">_xlfn.FORECAST.LINEAR(B17,D$16:D$23,B$16:B$23)</f>
        <v>62483.742857142817</v>
      </c>
      <c r="F17">
        <f t="shared" ref="F17:F22" si="4">(E17/D$23)*100</f>
        <v>194.98558291562114</v>
      </c>
      <c r="G17">
        <f t="shared" ref="G17:G23" si="5">(F17/F$23)*C$23</f>
        <v>133.46763150574267</v>
      </c>
      <c r="H17">
        <f>I3</f>
        <v>133.46763150574267</v>
      </c>
      <c r="I17">
        <f t="shared" si="2"/>
        <v>100</v>
      </c>
    </row>
    <row r="18" spans="1:9" x14ac:dyDescent="0.25">
      <c r="B18" s="1">
        <v>1923</v>
      </c>
      <c r="C18">
        <f>H4</f>
        <v>162</v>
      </c>
      <c r="E18">
        <f t="shared" si="3"/>
        <v>50795.386285714281</v>
      </c>
      <c r="F18">
        <f t="shared" si="4"/>
        <v>158.51111907602268</v>
      </c>
      <c r="G18">
        <f t="shared" si="5"/>
        <v>108.50086100753754</v>
      </c>
      <c r="H18">
        <f>I4</f>
        <v>108.50086100753754</v>
      </c>
      <c r="I18">
        <f t="shared" si="2"/>
        <v>100</v>
      </c>
    </row>
    <row r="19" spans="1:9" x14ac:dyDescent="0.25">
      <c r="B19">
        <v>1935</v>
      </c>
      <c r="C19">
        <f>H4</f>
        <v>162</v>
      </c>
      <c r="E19">
        <f t="shared" si="3"/>
        <v>47873.297142857104</v>
      </c>
      <c r="F19">
        <f t="shared" si="4"/>
        <v>149.39250311612292</v>
      </c>
      <c r="G19">
        <f t="shared" si="5"/>
        <v>102.25916838298615</v>
      </c>
      <c r="H19">
        <f>I4</f>
        <v>108.50086100753754</v>
      </c>
      <c r="I19">
        <f t="shared" si="2"/>
        <v>106.10379755991627</v>
      </c>
    </row>
    <row r="20" spans="1:9" x14ac:dyDescent="0.25">
      <c r="A20" t="s">
        <v>264</v>
      </c>
      <c r="B20" s="1">
        <v>1960</v>
      </c>
      <c r="C20">
        <f>H5</f>
        <v>168</v>
      </c>
      <c r="E20">
        <f t="shared" si="3"/>
        <v>41785.611428571399</v>
      </c>
      <c r="F20">
        <f t="shared" si="4"/>
        <v>130.39538653299871</v>
      </c>
      <c r="G20">
        <f t="shared" si="5"/>
        <v>89.255642081837621</v>
      </c>
      <c r="H20">
        <f>I5</f>
        <v>89.255642081837621</v>
      </c>
      <c r="I20">
        <f t="shared" si="2"/>
        <v>100</v>
      </c>
    </row>
    <row r="21" spans="1:9" x14ac:dyDescent="0.25">
      <c r="A21" t="s">
        <v>266</v>
      </c>
      <c r="B21" s="1">
        <v>1993</v>
      </c>
      <c r="C21">
        <f>H9+H6+H7+H8</f>
        <v>68.45</v>
      </c>
      <c r="E21">
        <f t="shared" si="3"/>
        <v>33749.866285714263</v>
      </c>
      <c r="F21">
        <f t="shared" si="4"/>
        <v>105.31919264327472</v>
      </c>
      <c r="G21">
        <f t="shared" si="5"/>
        <v>72.090987364321549</v>
      </c>
      <c r="H21">
        <f>I8+I9+I6+I7</f>
        <v>71.141511477496991</v>
      </c>
      <c r="I21">
        <f t="shared" si="2"/>
        <v>98.682947866941745</v>
      </c>
    </row>
    <row r="22" spans="1:9" x14ac:dyDescent="0.25">
      <c r="A22" t="s">
        <v>30</v>
      </c>
      <c r="B22" s="1">
        <v>1998</v>
      </c>
      <c r="C22">
        <f>H6+H7+H8+H9</f>
        <v>68.45</v>
      </c>
      <c r="E22">
        <f t="shared" si="3"/>
        <v>32532.32914285711</v>
      </c>
      <c r="F22">
        <f t="shared" si="4"/>
        <v>101.51976932664984</v>
      </c>
      <c r="G22">
        <f t="shared" si="5"/>
        <v>69.490282104091818</v>
      </c>
      <c r="H22">
        <f>I9+I6+I7+I8</f>
        <v>71.141511477497005</v>
      </c>
      <c r="I22">
        <f t="shared" si="2"/>
        <v>102.3762018564434</v>
      </c>
    </row>
    <row r="23" spans="1:9" x14ac:dyDescent="0.25">
      <c r="A23" t="s">
        <v>149</v>
      </c>
      <c r="B23" s="1">
        <v>2000</v>
      </c>
      <c r="C23">
        <f>H6+H7+H8+H9</f>
        <v>68.45</v>
      </c>
      <c r="D23">
        <f>sources_consumption!D46+sources_consumption!D47</f>
        <v>32045.314285714288</v>
      </c>
      <c r="F23">
        <v>100</v>
      </c>
      <c r="G23">
        <f t="shared" si="5"/>
        <v>68.45</v>
      </c>
      <c r="H23">
        <f>I6+I7+I8+I9</f>
        <v>71.141511477496991</v>
      </c>
      <c r="I23">
        <f t="shared" si="2"/>
        <v>103.93208397004673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sources_consumption</vt:lpstr>
      <vt:lpstr>sources_distweight</vt:lpstr>
      <vt:lpstr>dist_calculations</vt:lpstr>
      <vt:lpstr>food summary</vt:lpstr>
      <vt:lpstr>meat</vt:lpstr>
      <vt:lpstr>milk</vt:lpstr>
      <vt:lpstr>fish</vt:lpstr>
      <vt:lpstr>flour</vt:lpstr>
      <vt:lpstr>vegetables</vt:lpstr>
      <vt:lpstr>fruit</vt:lpstr>
      <vt:lpstr>canned</vt:lpstr>
      <vt:lpstr>beer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 Clarmo</dc:creator>
  <cp:lastModifiedBy>Joe Clarmo</cp:lastModifiedBy>
  <dcterms:created xsi:type="dcterms:W3CDTF">2026-10-08T12:03:47Z</dcterms:created>
  <dcterms:modified xsi:type="dcterms:W3CDTF">2026-10-16T20:32:55Z</dcterms:modified>
</cp:coreProperties>
</file>