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Rideau Truck\Documents\"/>
    </mc:Choice>
  </mc:AlternateContent>
  <xr:revisionPtr revIDLastSave="0" documentId="13_ncr:1_{9DC45937-4719-4C38-972B-5E444C2CA7BE}" xr6:coauthVersionLast="47" xr6:coauthVersionMax="47" xr10:uidLastSave="{00000000-0000-0000-0000-000000000000}"/>
  <bookViews>
    <workbookView xWindow="-120" yWindow="-120" windowWidth="29040" windowHeight="15720" activeTab="3" xr2:uid="{5E28C574-94B7-40B9-9081-619E63A6A598}"/>
  </bookViews>
  <sheets>
    <sheet name="sources_consumption" sheetId="1" r:id="rId1"/>
    <sheet name="sources_distweight" sheetId="9" r:id="rId2"/>
    <sheet name="dist_calculations" sheetId="10" r:id="rId3"/>
    <sheet name="food summary" sheetId="8" r:id="rId4"/>
    <sheet name="meat" sheetId="2" r:id="rId5"/>
    <sheet name="milk" sheetId="7" r:id="rId6"/>
    <sheet name="fish" sheetId="3" r:id="rId7"/>
    <sheet name="flour" sheetId="4" r:id="rId8"/>
    <sheet name="vegetables" sheetId="5" r:id="rId9"/>
    <sheet name="fruit" sheetId="6" r:id="rId10"/>
    <sheet name="canned" sheetId="11" r:id="rId1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1" l="1"/>
  <c r="D11" i="1"/>
  <c r="I3" i="3"/>
  <c r="C38" i="8"/>
  <c r="C45" i="8"/>
  <c r="I99" i="8"/>
  <c r="H99" i="8"/>
  <c r="G99" i="8"/>
  <c r="F99" i="8"/>
  <c r="E99" i="8"/>
  <c r="D99" i="8"/>
  <c r="C99" i="8"/>
  <c r="B99" i="8"/>
  <c r="I98" i="8"/>
  <c r="H98" i="8"/>
  <c r="G98" i="8"/>
  <c r="F98" i="8"/>
  <c r="E98" i="8"/>
  <c r="D98" i="8"/>
  <c r="C98" i="8"/>
  <c r="B98" i="8"/>
  <c r="I97" i="8"/>
  <c r="H97" i="8"/>
  <c r="G97" i="8"/>
  <c r="F97" i="8"/>
  <c r="E97" i="8"/>
  <c r="D97" i="8"/>
  <c r="C97" i="8"/>
  <c r="B97" i="8"/>
  <c r="I94" i="8"/>
  <c r="H94" i="8"/>
  <c r="G94" i="8"/>
  <c r="F94" i="8"/>
  <c r="E94" i="8"/>
  <c r="D94" i="8"/>
  <c r="C94" i="8"/>
  <c r="B94" i="8"/>
  <c r="I93" i="8"/>
  <c r="H93" i="8"/>
  <c r="G93" i="8"/>
  <c r="F93" i="8"/>
  <c r="E93" i="8"/>
  <c r="D93" i="8"/>
  <c r="C93" i="8"/>
  <c r="B93" i="8"/>
  <c r="I92" i="8"/>
  <c r="H92" i="8"/>
  <c r="G92" i="8"/>
  <c r="F92" i="8"/>
  <c r="E92" i="8"/>
  <c r="D92" i="8"/>
  <c r="C92" i="8"/>
  <c r="B92" i="8"/>
  <c r="I89" i="8"/>
  <c r="H89" i="8"/>
  <c r="G89" i="8"/>
  <c r="F89" i="8"/>
  <c r="E89" i="8"/>
  <c r="D89" i="8"/>
  <c r="C89" i="8"/>
  <c r="B89" i="8"/>
  <c r="I86" i="8"/>
  <c r="H86" i="8"/>
  <c r="G86" i="8"/>
  <c r="F86" i="8"/>
  <c r="E86" i="8"/>
  <c r="D86" i="8"/>
  <c r="C86" i="8"/>
  <c r="B86" i="8"/>
  <c r="I85" i="8"/>
  <c r="H85" i="8"/>
  <c r="G85" i="8"/>
  <c r="F85" i="8"/>
  <c r="E85" i="8"/>
  <c r="D85" i="8"/>
  <c r="C85" i="8"/>
  <c r="B85" i="8"/>
  <c r="I82" i="8"/>
  <c r="H82" i="8"/>
  <c r="G82" i="8"/>
  <c r="F82" i="8"/>
  <c r="E82" i="8"/>
  <c r="D82" i="8"/>
  <c r="C82" i="8"/>
  <c r="B82" i="8"/>
  <c r="I79" i="8"/>
  <c r="H79" i="8"/>
  <c r="G79" i="8"/>
  <c r="F79" i="8"/>
  <c r="E79" i="8"/>
  <c r="D79" i="8"/>
  <c r="C79" i="8"/>
  <c r="B79" i="8"/>
  <c r="I78" i="8"/>
  <c r="H78" i="8"/>
  <c r="G78" i="8"/>
  <c r="F78" i="8"/>
  <c r="E78" i="8"/>
  <c r="D78" i="8"/>
  <c r="C78" i="8"/>
  <c r="B78" i="8"/>
  <c r="I74" i="8"/>
  <c r="H74" i="8"/>
  <c r="G74" i="8"/>
  <c r="F74" i="8"/>
  <c r="E74" i="8"/>
  <c r="D74" i="8"/>
  <c r="C74" i="8"/>
  <c r="B74" i="8"/>
  <c r="C59" i="8"/>
  <c r="E59" i="8" s="1"/>
  <c r="C52" i="8"/>
  <c r="C60" i="8"/>
  <c r="C53" i="8"/>
  <c r="C46" i="8"/>
  <c r="C40" i="8"/>
  <c r="C28" i="2"/>
  <c r="C61" i="8"/>
  <c r="C41" i="8"/>
  <c r="C48" i="8"/>
  <c r="C55" i="8"/>
  <c r="D13" i="1"/>
  <c r="D25" i="3" s="1"/>
  <c r="D19" i="1"/>
  <c r="E26" i="8"/>
  <c r="E20" i="8"/>
  <c r="H9" i="5"/>
  <c r="G27" i="8" s="1"/>
  <c r="C62" i="8"/>
  <c r="C56" i="8"/>
  <c r="C49" i="8"/>
  <c r="C42" i="8"/>
  <c r="D18" i="6"/>
  <c r="D51" i="1"/>
  <c r="E22" i="5"/>
  <c r="E21" i="5"/>
  <c r="E30" i="8"/>
  <c r="E24" i="8"/>
  <c r="E17" i="8"/>
  <c r="E10" i="8"/>
  <c r="E3" i="8"/>
  <c r="C25" i="4"/>
  <c r="C24" i="4"/>
  <c r="C23" i="4"/>
  <c r="C22" i="4"/>
  <c r="C21" i="4"/>
  <c r="C20" i="4"/>
  <c r="C19" i="4"/>
  <c r="C18" i="4"/>
  <c r="C17" i="4"/>
  <c r="C16" i="4"/>
  <c r="F15" i="9"/>
  <c r="H38" i="9"/>
  <c r="I25" i="8"/>
  <c r="I19" i="8"/>
  <c r="I12" i="8"/>
  <c r="I5" i="8"/>
  <c r="C20" i="11"/>
  <c r="C19" i="11"/>
  <c r="H9" i="11"/>
  <c r="D9" i="11"/>
  <c r="D8" i="11"/>
  <c r="D10" i="11"/>
  <c r="F11" i="11"/>
  <c r="D11" i="11"/>
  <c r="D7" i="11"/>
  <c r="H6" i="11"/>
  <c r="D6" i="11"/>
  <c r="H5" i="11"/>
  <c r="D5" i="11"/>
  <c r="H4" i="11"/>
  <c r="D4" i="11"/>
  <c r="H3" i="11"/>
  <c r="D3" i="11"/>
  <c r="H2" i="11"/>
  <c r="C17" i="11" s="1"/>
  <c r="D2" i="11"/>
  <c r="D50" i="1"/>
  <c r="D52" i="1"/>
  <c r="C65" i="1"/>
  <c r="E70" i="1"/>
  <c r="C70" i="1"/>
  <c r="D54" i="1"/>
  <c r="E65" i="1"/>
  <c r="B52" i="1"/>
  <c r="B51" i="1"/>
  <c r="B50" i="1"/>
  <c r="F58" i="9"/>
  <c r="F60" i="9"/>
  <c r="D30" i="9"/>
  <c r="C57" i="9"/>
  <c r="C53" i="9"/>
  <c r="C58" i="9" s="1"/>
  <c r="D8" i="9"/>
  <c r="F19" i="9"/>
  <c r="H19" i="9" s="1"/>
  <c r="H16" i="9"/>
  <c r="H18" i="9"/>
  <c r="D17" i="9"/>
  <c r="H7" i="7"/>
  <c r="D32" i="8" s="1"/>
  <c r="D7" i="7"/>
  <c r="F12" i="6"/>
  <c r="D12" i="6"/>
  <c r="F8" i="4"/>
  <c r="D8" i="4"/>
  <c r="F12" i="5"/>
  <c r="D12" i="5"/>
  <c r="F12" i="3"/>
  <c r="D12" i="3"/>
  <c r="F8" i="7"/>
  <c r="D8" i="7"/>
  <c r="F12" i="2"/>
  <c r="D12" i="2"/>
  <c r="G28" i="10"/>
  <c r="D28" i="10"/>
  <c r="D29" i="10"/>
  <c r="H36" i="9"/>
  <c r="D5" i="7"/>
  <c r="D27" i="9"/>
  <c r="H33" i="9"/>
  <c r="D27" i="10" s="1"/>
  <c r="D34" i="9"/>
  <c r="E34" i="9"/>
  <c r="C42" i="9"/>
  <c r="H32" i="9"/>
  <c r="C30" i="8"/>
  <c r="C29" i="8"/>
  <c r="C24" i="8"/>
  <c r="C23" i="8"/>
  <c r="C17" i="8"/>
  <c r="C16" i="8"/>
  <c r="C10" i="8"/>
  <c r="C3" i="8"/>
  <c r="K16" i="8"/>
  <c r="K10" i="8"/>
  <c r="K9" i="8"/>
  <c r="K3" i="8"/>
  <c r="H23" i="2"/>
  <c r="H22" i="2"/>
  <c r="H21" i="2"/>
  <c r="H20" i="2"/>
  <c r="H19" i="2"/>
  <c r="H18" i="2"/>
  <c r="H17" i="2"/>
  <c r="D18" i="1"/>
  <c r="D26" i="2" s="1"/>
  <c r="D28" i="3"/>
  <c r="D20" i="1"/>
  <c r="D25" i="4" s="1"/>
  <c r="D21" i="1"/>
  <c r="D25" i="5" s="1"/>
  <c r="D22" i="1"/>
  <c r="D24" i="6" s="1"/>
  <c r="D23" i="1"/>
  <c r="D20" i="7" s="1"/>
  <c r="D17" i="1"/>
  <c r="D18" i="7" s="1"/>
  <c r="D3" i="1"/>
  <c r="D17" i="4" s="1"/>
  <c r="D10" i="1"/>
  <c r="D21" i="4" s="1"/>
  <c r="D16" i="1"/>
  <c r="D15" i="1"/>
  <c r="D23" i="5" s="1"/>
  <c r="D14" i="1"/>
  <c r="D23" i="4" s="1"/>
  <c r="D12" i="1"/>
  <c r="D24" i="2" s="1"/>
  <c r="D28" i="1"/>
  <c r="D27" i="6" s="1"/>
  <c r="D13" i="6"/>
  <c r="D11" i="6"/>
  <c r="H10" i="6"/>
  <c r="D10" i="6"/>
  <c r="H9" i="6"/>
  <c r="H27" i="8" s="1"/>
  <c r="D9" i="6"/>
  <c r="H8" i="6"/>
  <c r="D8" i="6"/>
  <c r="H7" i="6"/>
  <c r="H21" i="8" s="1"/>
  <c r="D7" i="6"/>
  <c r="H6" i="6"/>
  <c r="D6" i="6"/>
  <c r="H5" i="6"/>
  <c r="H14" i="8" s="1"/>
  <c r="D5" i="6"/>
  <c r="H4" i="6"/>
  <c r="D4" i="6"/>
  <c r="H3" i="6"/>
  <c r="D3" i="6"/>
  <c r="H2" i="6"/>
  <c r="D2" i="6"/>
  <c r="D9" i="7"/>
  <c r="D6" i="7"/>
  <c r="H4" i="7"/>
  <c r="D18" i="8" s="1"/>
  <c r="D4" i="7"/>
  <c r="H3" i="7"/>
  <c r="D11" i="8" s="1"/>
  <c r="D3" i="7"/>
  <c r="H2" i="7"/>
  <c r="D4" i="8" s="1"/>
  <c r="D2" i="7"/>
  <c r="D36" i="1"/>
  <c r="D29" i="7" s="1"/>
  <c r="D29" i="1"/>
  <c r="D24" i="7" s="1"/>
  <c r="D7" i="1"/>
  <c r="D15" i="7" s="1"/>
  <c r="D6" i="1"/>
  <c r="D13" i="7" s="1"/>
  <c r="F13" i="7" s="1"/>
  <c r="D8" i="1"/>
  <c r="D5" i="1"/>
  <c r="D13" i="5"/>
  <c r="D11" i="5"/>
  <c r="H10" i="5"/>
  <c r="D10" i="5"/>
  <c r="D9" i="5"/>
  <c r="H8" i="5"/>
  <c r="D8" i="5"/>
  <c r="H7" i="5"/>
  <c r="G21" i="8" s="1"/>
  <c r="D7" i="5"/>
  <c r="H6" i="5"/>
  <c r="D6" i="5"/>
  <c r="H5" i="5"/>
  <c r="G14" i="8" s="1"/>
  <c r="D5" i="5"/>
  <c r="H4" i="5"/>
  <c r="D4" i="5"/>
  <c r="H3" i="5"/>
  <c r="G7" i="8" s="1"/>
  <c r="D3" i="5"/>
  <c r="H2" i="5"/>
  <c r="D2" i="5"/>
  <c r="D5" i="4"/>
  <c r="D4" i="4"/>
  <c r="H5" i="4"/>
  <c r="D9" i="4"/>
  <c r="H6" i="4"/>
  <c r="D6" i="4"/>
  <c r="H4" i="4"/>
  <c r="F22" i="8" s="1"/>
  <c r="H3" i="4"/>
  <c r="F15" i="8" s="1"/>
  <c r="D3" i="4"/>
  <c r="H2" i="4"/>
  <c r="F8" i="8" s="1"/>
  <c r="D2" i="4"/>
  <c r="D31" i="1"/>
  <c r="D27" i="1"/>
  <c r="D28" i="5" s="1"/>
  <c r="D26" i="1"/>
  <c r="D28" i="4" s="1"/>
  <c r="D25" i="1"/>
  <c r="D33" i="3" s="1"/>
  <c r="D13" i="3"/>
  <c r="D11" i="3"/>
  <c r="H10" i="3"/>
  <c r="D10" i="3"/>
  <c r="H9" i="3"/>
  <c r="D9" i="3"/>
  <c r="H8" i="3"/>
  <c r="D8" i="3"/>
  <c r="H7" i="3"/>
  <c r="D7" i="3"/>
  <c r="H6" i="3"/>
  <c r="D6" i="3"/>
  <c r="H5" i="3"/>
  <c r="E13" i="8" s="1"/>
  <c r="D5" i="3"/>
  <c r="H4" i="3"/>
  <c r="D4" i="3"/>
  <c r="H3" i="3"/>
  <c r="E6" i="8" s="1"/>
  <c r="D3" i="3"/>
  <c r="H2" i="3"/>
  <c r="D2" i="3"/>
  <c r="D24" i="1"/>
  <c r="D31" i="2" s="1"/>
  <c r="D9" i="1"/>
  <c r="D22" i="2" s="1"/>
  <c r="D2" i="1"/>
  <c r="D18" i="2" s="1"/>
  <c r="D7" i="2"/>
  <c r="H10" i="2"/>
  <c r="H9" i="2"/>
  <c r="H8" i="2"/>
  <c r="H7" i="2"/>
  <c r="H6" i="2"/>
  <c r="H5" i="2"/>
  <c r="H4" i="2"/>
  <c r="C22" i="2" s="1"/>
  <c r="H3" i="2"/>
  <c r="C9" i="8" s="1"/>
  <c r="D13" i="2"/>
  <c r="D11" i="2"/>
  <c r="D10" i="2"/>
  <c r="D9" i="2"/>
  <c r="D8" i="2"/>
  <c r="D6" i="2"/>
  <c r="D5" i="2"/>
  <c r="D4" i="2"/>
  <c r="D3" i="2"/>
  <c r="H2" i="2"/>
  <c r="C18" i="2" s="1"/>
  <c r="D2" i="2"/>
  <c r="O59" i="8" l="1"/>
  <c r="Q59" i="8"/>
  <c r="S59" i="8"/>
  <c r="T59" i="8"/>
  <c r="C28" i="3"/>
  <c r="F28" i="8"/>
  <c r="C26" i="4"/>
  <c r="D20" i="5"/>
  <c r="D21" i="6"/>
  <c r="E19" i="6" s="1"/>
  <c r="F15" i="7"/>
  <c r="F20" i="7"/>
  <c r="F18" i="7"/>
  <c r="D67" i="1"/>
  <c r="D68" i="1"/>
  <c r="D69" i="1"/>
  <c r="D66" i="1"/>
  <c r="E26" i="4"/>
  <c r="E27" i="4"/>
  <c r="E24" i="4"/>
  <c r="E26" i="3"/>
  <c r="E19" i="3"/>
  <c r="E22" i="3"/>
  <c r="E27" i="3"/>
  <c r="E18" i="3"/>
  <c r="E20" i="3"/>
  <c r="E23" i="3"/>
  <c r="E17" i="3"/>
  <c r="E21" i="3"/>
  <c r="E24" i="3"/>
  <c r="E27" i="7"/>
  <c r="F27" i="7" s="1"/>
  <c r="F24" i="7"/>
  <c r="I30" i="8"/>
  <c r="C22" i="11"/>
  <c r="C59" i="9"/>
  <c r="H34" i="9"/>
  <c r="D30" i="10" s="1"/>
  <c r="F61" i="9"/>
  <c r="F62" i="9" s="1"/>
  <c r="C60" i="9"/>
  <c r="E26" i="9"/>
  <c r="H26" i="9" s="1"/>
  <c r="D26" i="10" s="1"/>
  <c r="F63" i="9"/>
  <c r="E37" i="9" s="1"/>
  <c r="H37" i="9" s="1"/>
  <c r="D31" i="10" s="1"/>
  <c r="S3" i="8"/>
  <c r="C21" i="11"/>
  <c r="C18" i="11"/>
  <c r="E51" i="1"/>
  <c r="D30" i="1"/>
  <c r="D23" i="11" s="1"/>
  <c r="E50" i="1"/>
  <c r="E52" i="1"/>
  <c r="F68" i="1" s="1"/>
  <c r="E53" i="1"/>
  <c r="F69" i="1" s="1"/>
  <c r="B54" i="1"/>
  <c r="D37" i="1" s="1"/>
  <c r="D29" i="11" s="1"/>
  <c r="E23" i="6"/>
  <c r="E27" i="9"/>
  <c r="C61" i="9" s="1"/>
  <c r="C20" i="7"/>
  <c r="C19" i="7"/>
  <c r="C18" i="7"/>
  <c r="C21" i="7"/>
  <c r="C16" i="7"/>
  <c r="C17" i="7"/>
  <c r="C14" i="7"/>
  <c r="C13" i="7"/>
  <c r="C12" i="7"/>
  <c r="E26" i="6"/>
  <c r="E25" i="6"/>
  <c r="C18" i="6"/>
  <c r="H3" i="8"/>
  <c r="C17" i="6"/>
  <c r="H30" i="8"/>
  <c r="H24" i="8"/>
  <c r="C25" i="6"/>
  <c r="C24" i="6"/>
  <c r="H17" i="8"/>
  <c r="C23" i="6"/>
  <c r="H10" i="8"/>
  <c r="C21" i="6"/>
  <c r="C20" i="6"/>
  <c r="C22" i="6"/>
  <c r="H7" i="8"/>
  <c r="C19" i="6"/>
  <c r="E27" i="5"/>
  <c r="E26" i="5"/>
  <c r="E24" i="5"/>
  <c r="G30" i="8"/>
  <c r="C26" i="5"/>
  <c r="G24" i="8"/>
  <c r="G17" i="8"/>
  <c r="C25" i="5"/>
  <c r="C24" i="5"/>
  <c r="C21" i="5"/>
  <c r="G10" i="8"/>
  <c r="C20" i="5"/>
  <c r="C23" i="5"/>
  <c r="C22" i="5"/>
  <c r="G3" i="8"/>
  <c r="C19" i="5"/>
  <c r="S9" i="8"/>
  <c r="B9" i="8" s="1"/>
  <c r="E44" i="8" s="1"/>
  <c r="O44" i="8" s="1"/>
  <c r="F30" i="8"/>
  <c r="C30" i="3"/>
  <c r="C29" i="3"/>
  <c r="E32" i="3"/>
  <c r="E31" i="3"/>
  <c r="E30" i="3"/>
  <c r="E29" i="3"/>
  <c r="C27" i="3"/>
  <c r="C26" i="3"/>
  <c r="C25" i="3"/>
  <c r="C24" i="3"/>
  <c r="C23" i="3"/>
  <c r="C22" i="3"/>
  <c r="C18" i="3"/>
  <c r="C21" i="3"/>
  <c r="C20" i="3"/>
  <c r="C19" i="3"/>
  <c r="C17" i="3"/>
  <c r="E23" i="7"/>
  <c r="F23" i="7" s="1"/>
  <c r="E26" i="7"/>
  <c r="F26" i="7" s="1"/>
  <c r="E28" i="7"/>
  <c r="F28" i="7" s="1"/>
  <c r="E25" i="7"/>
  <c r="F25" i="7" s="1"/>
  <c r="E22" i="7"/>
  <c r="F22" i="7" s="1"/>
  <c r="E21" i="7"/>
  <c r="F21" i="7" s="1"/>
  <c r="E19" i="7"/>
  <c r="F19" i="7" s="1"/>
  <c r="E17" i="7"/>
  <c r="F17" i="7" s="1"/>
  <c r="E16" i="7"/>
  <c r="F16" i="7" s="1"/>
  <c r="E14" i="7"/>
  <c r="F14" i="7" s="1"/>
  <c r="S16" i="8"/>
  <c r="B16" i="8" s="1"/>
  <c r="E51" i="8" s="1"/>
  <c r="O51" i="8" s="1"/>
  <c r="S10" i="8"/>
  <c r="E29" i="9"/>
  <c r="H29" i="9" s="1"/>
  <c r="E24" i="9"/>
  <c r="E25" i="9"/>
  <c r="H25" i="9" s="1"/>
  <c r="D23" i="10" s="1"/>
  <c r="E21" i="9"/>
  <c r="H21" i="9" s="1"/>
  <c r="D24" i="10" s="1"/>
  <c r="E30" i="2"/>
  <c r="E28" i="2"/>
  <c r="E25" i="2"/>
  <c r="E29" i="2"/>
  <c r="E27" i="2"/>
  <c r="C29" i="2"/>
  <c r="C27" i="2"/>
  <c r="C26" i="2"/>
  <c r="C25" i="2"/>
  <c r="C24" i="2"/>
  <c r="E22" i="4"/>
  <c r="E23" i="2"/>
  <c r="D18" i="5"/>
  <c r="E19" i="5" s="1"/>
  <c r="D36" i="2"/>
  <c r="D35" i="1"/>
  <c r="D32" i="6" s="1"/>
  <c r="E22" i="6"/>
  <c r="F22" i="6" s="1"/>
  <c r="E17" i="4"/>
  <c r="E21" i="4"/>
  <c r="E20" i="4"/>
  <c r="E19" i="4"/>
  <c r="C18" i="5"/>
  <c r="C17" i="5"/>
  <c r="E18" i="4"/>
  <c r="D33" i="1"/>
  <c r="D31" i="4" s="1"/>
  <c r="D34" i="1"/>
  <c r="D33" i="5" s="1"/>
  <c r="D32" i="1"/>
  <c r="D39" i="3" s="1"/>
  <c r="F25" i="3" s="1"/>
  <c r="C23" i="2"/>
  <c r="C21" i="2"/>
  <c r="C20" i="2"/>
  <c r="C19" i="2"/>
  <c r="C17" i="2"/>
  <c r="E20" i="2"/>
  <c r="F20" i="2" s="1"/>
  <c r="E21" i="2"/>
  <c r="F21" i="2" s="1"/>
  <c r="E19" i="2"/>
  <c r="F19" i="2" s="1"/>
  <c r="E26" i="10" l="1"/>
  <c r="E24" i="10"/>
  <c r="E11" i="5" s="1"/>
  <c r="E31" i="10"/>
  <c r="F67" i="1"/>
  <c r="F66" i="1"/>
  <c r="F30" i="2"/>
  <c r="F28" i="2"/>
  <c r="F25" i="2"/>
  <c r="F29" i="2"/>
  <c r="F27" i="2"/>
  <c r="F18" i="4"/>
  <c r="F26" i="4"/>
  <c r="F27" i="4"/>
  <c r="F24" i="4"/>
  <c r="F26" i="3"/>
  <c r="F19" i="3"/>
  <c r="F22" i="3"/>
  <c r="F27" i="3"/>
  <c r="F18" i="3"/>
  <c r="F20" i="3"/>
  <c r="F23" i="3"/>
  <c r="F17" i="3"/>
  <c r="F21" i="3"/>
  <c r="F24" i="3"/>
  <c r="F23" i="6"/>
  <c r="F31" i="3"/>
  <c r="F29" i="3"/>
  <c r="F26" i="6"/>
  <c r="F25" i="6"/>
  <c r="F27" i="5"/>
  <c r="F26" i="5"/>
  <c r="F24" i="5"/>
  <c r="F32" i="3"/>
  <c r="F30" i="3"/>
  <c r="F22" i="4"/>
  <c r="F22" i="5"/>
  <c r="F23" i="2"/>
  <c r="F18" i="6"/>
  <c r="F17" i="4"/>
  <c r="F21" i="4"/>
  <c r="F20" i="4"/>
  <c r="F19" i="4"/>
  <c r="F28" i="4"/>
  <c r="F25" i="4"/>
  <c r="F23" i="4"/>
  <c r="E21" i="11"/>
  <c r="F21" i="11" s="1"/>
  <c r="F23" i="11"/>
  <c r="E25" i="11"/>
  <c r="F25" i="11" s="1"/>
  <c r="E28" i="11"/>
  <c r="F28" i="11" s="1"/>
  <c r="E26" i="11"/>
  <c r="F26" i="11" s="1"/>
  <c r="E24" i="11"/>
  <c r="F24" i="11" s="1"/>
  <c r="E20" i="11"/>
  <c r="F20" i="11" s="1"/>
  <c r="E18" i="11"/>
  <c r="F18" i="11" s="1"/>
  <c r="E19" i="11"/>
  <c r="F19" i="11" s="1"/>
  <c r="E17" i="11"/>
  <c r="F17" i="11" s="1"/>
  <c r="E27" i="11"/>
  <c r="F27" i="11" s="1"/>
  <c r="E22" i="11"/>
  <c r="F22" i="11" s="1"/>
  <c r="E35" i="2"/>
  <c r="F35" i="2" s="1"/>
  <c r="F22" i="2"/>
  <c r="F18" i="2"/>
  <c r="F31" i="2"/>
  <c r="F26" i="2"/>
  <c r="F24" i="2"/>
  <c r="F24" i="6"/>
  <c r="F27" i="6"/>
  <c r="F21" i="6"/>
  <c r="F20" i="5"/>
  <c r="F25" i="5"/>
  <c r="F28" i="5"/>
  <c r="F23" i="5"/>
  <c r="F33" i="3"/>
  <c r="F28" i="3"/>
  <c r="C62" i="9"/>
  <c r="C63" i="9" s="1"/>
  <c r="E30" i="9" s="1"/>
  <c r="H30" i="9" s="1"/>
  <c r="E23" i="10"/>
  <c r="E29" i="10"/>
  <c r="E13" i="5" s="1"/>
  <c r="E27" i="10"/>
  <c r="E28" i="10"/>
  <c r="E12" i="5" s="1"/>
  <c r="F12" i="9"/>
  <c r="H12" i="9" s="1"/>
  <c r="D22" i="10" s="1"/>
  <c r="E22" i="10" s="1"/>
  <c r="F22" i="9"/>
  <c r="H15" i="9" s="1"/>
  <c r="D21" i="10" s="1"/>
  <c r="E21" i="10" s="1"/>
  <c r="E13" i="6"/>
  <c r="H13" i="6" s="1"/>
  <c r="H34" i="8" s="1"/>
  <c r="C50" i="1"/>
  <c r="C51" i="1"/>
  <c r="C52" i="1"/>
  <c r="C53" i="1"/>
  <c r="E20" i="6"/>
  <c r="F20" i="6" s="1"/>
  <c r="F19" i="6"/>
  <c r="F18" i="5"/>
  <c r="E36" i="3"/>
  <c r="F36" i="3" s="1"/>
  <c r="E34" i="3"/>
  <c r="F34" i="3" s="1"/>
  <c r="E37" i="3"/>
  <c r="F37" i="3" s="1"/>
  <c r="E38" i="3"/>
  <c r="F38" i="3" s="1"/>
  <c r="E35" i="3"/>
  <c r="F35" i="3" s="1"/>
  <c r="F17" i="9"/>
  <c r="H17" i="9" s="1"/>
  <c r="F8" i="9"/>
  <c r="H8" i="9" s="1"/>
  <c r="D19" i="10" s="1"/>
  <c r="E19" i="10" s="1"/>
  <c r="H27" i="9"/>
  <c r="D25" i="10" s="1"/>
  <c r="E25" i="10" s="1"/>
  <c r="F14" i="9"/>
  <c r="H14" i="9" s="1"/>
  <c r="H24" i="9"/>
  <c r="F20" i="9"/>
  <c r="H20" i="9" s="1"/>
  <c r="F21" i="5"/>
  <c r="F19" i="5"/>
  <c r="E32" i="2"/>
  <c r="F32" i="2" s="1"/>
  <c r="E34" i="2"/>
  <c r="F34" i="2" s="1"/>
  <c r="E33" i="2"/>
  <c r="F33" i="2" s="1"/>
  <c r="E31" i="6"/>
  <c r="F31" i="6" s="1"/>
  <c r="E29" i="6"/>
  <c r="F29" i="6" s="1"/>
  <c r="E30" i="6"/>
  <c r="F30" i="6" s="1"/>
  <c r="E28" i="6"/>
  <c r="F28" i="6" s="1"/>
  <c r="E29" i="4"/>
  <c r="F29" i="4" s="1"/>
  <c r="E30" i="4"/>
  <c r="F30" i="4" s="1"/>
  <c r="E30" i="5"/>
  <c r="F30" i="5" s="1"/>
  <c r="E31" i="5"/>
  <c r="F31" i="5" s="1"/>
  <c r="E32" i="5"/>
  <c r="F32" i="5" s="1"/>
  <c r="E29" i="5"/>
  <c r="F29" i="5" s="1"/>
  <c r="C67" i="8" l="1"/>
  <c r="E8" i="11"/>
  <c r="H8" i="11" s="1"/>
  <c r="H11" i="5"/>
  <c r="C66" i="8"/>
  <c r="E7" i="11"/>
  <c r="H7" i="11" s="1"/>
  <c r="E11" i="3"/>
  <c r="H11" i="3" s="1"/>
  <c r="E7" i="4"/>
  <c r="H7" i="4" s="1"/>
  <c r="F31" i="8" s="1"/>
  <c r="E11" i="6"/>
  <c r="H11" i="6" s="1"/>
  <c r="E11" i="2"/>
  <c r="H11" i="2" s="1"/>
  <c r="E6" i="7"/>
  <c r="H6" i="7" s="1"/>
  <c r="H13" i="5"/>
  <c r="G34" i="8" s="1"/>
  <c r="E9" i="4"/>
  <c r="H9" i="4" s="1"/>
  <c r="F34" i="8" s="1"/>
  <c r="E13" i="3"/>
  <c r="H13" i="3" s="1"/>
  <c r="E34" i="8" s="1"/>
  <c r="E13" i="2"/>
  <c r="H13" i="2" s="1"/>
  <c r="C34" i="8" s="1"/>
  <c r="E9" i="7"/>
  <c r="H9" i="7" s="1"/>
  <c r="D34" i="8" s="1"/>
  <c r="C69" i="8"/>
  <c r="E10" i="11"/>
  <c r="H10" i="11" s="1"/>
  <c r="E11" i="11"/>
  <c r="H11" i="11" s="1"/>
  <c r="I33" i="8" s="1"/>
  <c r="E12" i="6"/>
  <c r="H12" i="6" s="1"/>
  <c r="H12" i="5"/>
  <c r="E8" i="4"/>
  <c r="H8" i="4" s="1"/>
  <c r="E12" i="3"/>
  <c r="H12" i="3" s="1"/>
  <c r="E5" i="7"/>
  <c r="H5" i="7" s="1"/>
  <c r="C65" i="8"/>
  <c r="E12" i="2"/>
  <c r="H12" i="2" s="1"/>
  <c r="C68" i="8"/>
  <c r="E8" i="7"/>
  <c r="H8" i="7" s="1"/>
  <c r="C34" i="2"/>
  <c r="C31" i="2"/>
  <c r="C32" i="2" l="1"/>
  <c r="C30" i="2"/>
  <c r="C33" i="2"/>
  <c r="C31" i="8"/>
  <c r="C29" i="11"/>
  <c r="C24" i="11"/>
  <c r="C23" i="11"/>
  <c r="E33" i="8"/>
  <c r="C38" i="3"/>
  <c r="C39" i="3"/>
  <c r="C28" i="5"/>
  <c r="C30" i="5"/>
  <c r="C29" i="5"/>
  <c r="C31" i="5"/>
  <c r="G31" i="8"/>
  <c r="C27" i="5"/>
  <c r="C26" i="11"/>
  <c r="C25" i="11"/>
  <c r="I31" i="8"/>
  <c r="C35" i="3"/>
  <c r="C37" i="3"/>
  <c r="E31" i="8"/>
  <c r="C33" i="3"/>
  <c r="C34" i="3"/>
  <c r="C36" i="3"/>
  <c r="C29" i="4"/>
  <c r="C27" i="4"/>
  <c r="C28" i="4"/>
  <c r="C26" i="6"/>
  <c r="C27" i="6"/>
  <c r="C28" i="6"/>
  <c r="C29" i="6"/>
  <c r="H31" i="8"/>
  <c r="C30" i="6"/>
  <c r="I32" i="8"/>
  <c r="C28" i="11"/>
  <c r="C32" i="3"/>
  <c r="C31" i="3"/>
  <c r="C25" i="7"/>
  <c r="C24" i="7"/>
  <c r="C26" i="7"/>
  <c r="D31" i="8"/>
  <c r="C27" i="11"/>
  <c r="I34" i="8"/>
  <c r="C32" i="6"/>
  <c r="H33" i="8"/>
  <c r="C31" i="6"/>
  <c r="C33" i="5"/>
  <c r="G33" i="5" s="1"/>
  <c r="I12" i="5" s="1"/>
  <c r="G33" i="8"/>
  <c r="C32" i="5"/>
  <c r="C30" i="4"/>
  <c r="F33" i="8"/>
  <c r="C31" i="4"/>
  <c r="D30" i="8"/>
  <c r="C22" i="7"/>
  <c r="C23" i="7"/>
  <c r="C35" i="2"/>
  <c r="C36" i="2"/>
  <c r="C33" i="8"/>
  <c r="C27" i="7"/>
  <c r="C29" i="7"/>
  <c r="D33" i="8"/>
  <c r="C28" i="7"/>
  <c r="G24" i="11" l="1"/>
  <c r="I7" i="11" s="1"/>
  <c r="Q31" i="8" s="1"/>
  <c r="G26" i="11"/>
  <c r="G21" i="11"/>
  <c r="I5" i="11" s="1"/>
  <c r="G17" i="11"/>
  <c r="I2" i="11" s="1"/>
  <c r="G20" i="11"/>
  <c r="G19" i="11"/>
  <c r="I4" i="11" s="1"/>
  <c r="G29" i="11"/>
  <c r="I11" i="11" s="1"/>
  <c r="Q33" i="8" s="1"/>
  <c r="Y33" i="8" s="1"/>
  <c r="G25" i="11"/>
  <c r="G28" i="11"/>
  <c r="I10" i="11" s="1"/>
  <c r="Q34" i="8" s="1"/>
  <c r="Y34" i="8" s="1"/>
  <c r="G27" i="11"/>
  <c r="G22" i="11"/>
  <c r="I6" i="11" s="1"/>
  <c r="G18" i="11"/>
  <c r="I3" i="11" s="1"/>
  <c r="G23" i="11"/>
  <c r="G27" i="5"/>
  <c r="G26" i="5"/>
  <c r="I8" i="5" s="1"/>
  <c r="O24" i="8" s="1"/>
  <c r="W24" i="8" s="1"/>
  <c r="G24" i="5"/>
  <c r="G22" i="5"/>
  <c r="G20" i="5"/>
  <c r="G25" i="5"/>
  <c r="G28" i="5"/>
  <c r="G23" i="5"/>
  <c r="G19" i="5"/>
  <c r="I3" i="5" s="1"/>
  <c r="O7" i="8" s="1"/>
  <c r="W7" i="8" s="1"/>
  <c r="G23" i="4"/>
  <c r="G22" i="4"/>
  <c r="G17" i="4"/>
  <c r="I2" i="4" s="1"/>
  <c r="G21" i="4"/>
  <c r="G20" i="4"/>
  <c r="I3" i="4" s="1"/>
  <c r="G19" i="4"/>
  <c r="G18" i="4"/>
  <c r="G28" i="4"/>
  <c r="G29" i="4"/>
  <c r="I7" i="4" s="1"/>
  <c r="Y31" i="8"/>
  <c r="G35" i="3"/>
  <c r="I9" i="3" s="1"/>
  <c r="G37" i="3"/>
  <c r="G33" i="3"/>
  <c r="G36" i="3"/>
  <c r="G28" i="3"/>
  <c r="G30" i="3"/>
  <c r="G32" i="3"/>
  <c r="I10" i="3" s="1"/>
  <c r="G29" i="3"/>
  <c r="G31" i="3"/>
  <c r="I8" i="3" s="1"/>
  <c r="G24" i="3"/>
  <c r="G17" i="3"/>
  <c r="G23" i="3"/>
  <c r="G18" i="3"/>
  <c r="I2" i="3" s="1"/>
  <c r="G27" i="3"/>
  <c r="G19" i="3"/>
  <c r="G26" i="3"/>
  <c r="G25" i="3"/>
  <c r="G39" i="3"/>
  <c r="I12" i="3" s="1"/>
  <c r="M33" i="8" s="1"/>
  <c r="U33" i="8" s="1"/>
  <c r="G21" i="3"/>
  <c r="G20" i="3"/>
  <c r="G22" i="3"/>
  <c r="G38" i="3"/>
  <c r="I13" i="3" s="1"/>
  <c r="M34" i="8" s="1"/>
  <c r="U34" i="8" s="1"/>
  <c r="G34" i="3"/>
  <c r="I11" i="3" s="1"/>
  <c r="M31" i="8" s="1"/>
  <c r="U31" i="8" s="1"/>
  <c r="G23" i="6"/>
  <c r="G28" i="6"/>
  <c r="I11" i="6" s="1"/>
  <c r="G30" i="6"/>
  <c r="G29" i="6"/>
  <c r="G31" i="6"/>
  <c r="I13" i="6" s="1"/>
  <c r="P34" i="8" s="1"/>
  <c r="X34" i="8" s="1"/>
  <c r="G20" i="6"/>
  <c r="G27" i="6"/>
  <c r="G19" i="6"/>
  <c r="I3" i="6" s="1"/>
  <c r="P7" i="8" s="1"/>
  <c r="X7" i="8" s="1"/>
  <c r="G21" i="6"/>
  <c r="G24" i="6"/>
  <c r="G18" i="6"/>
  <c r="I2" i="6" s="1"/>
  <c r="G25" i="6"/>
  <c r="I8" i="6" s="1"/>
  <c r="G26" i="6"/>
  <c r="G22" i="6"/>
  <c r="G32" i="6"/>
  <c r="I12" i="6" s="1"/>
  <c r="G32" i="5"/>
  <c r="I13" i="5" s="1"/>
  <c r="G31" i="5"/>
  <c r="G18" i="5"/>
  <c r="I2" i="5" s="1"/>
  <c r="G21" i="5"/>
  <c r="G29" i="5"/>
  <c r="I11" i="5" s="1"/>
  <c r="G30" i="5"/>
  <c r="G31" i="4"/>
  <c r="I8" i="4" s="1"/>
  <c r="N33" i="8" s="1"/>
  <c r="V33" i="8" s="1"/>
  <c r="G26" i="4"/>
  <c r="I5" i="4" s="1"/>
  <c r="N28" i="8" s="1"/>
  <c r="V28" i="8" s="1"/>
  <c r="B28" i="8" s="1"/>
  <c r="E63" i="8" s="1"/>
  <c r="R63" i="8" s="1"/>
  <c r="G27" i="4"/>
  <c r="I6" i="4" s="1"/>
  <c r="G25" i="4"/>
  <c r="G24" i="4"/>
  <c r="I4" i="4" s="1"/>
  <c r="N22" i="8" s="1"/>
  <c r="V22" i="8" s="1"/>
  <c r="B22" i="8" s="1"/>
  <c r="E57" i="8" s="1"/>
  <c r="R57" i="8" s="1"/>
  <c r="G30" i="4"/>
  <c r="I9" i="4" s="1"/>
  <c r="G36" i="2"/>
  <c r="I12" i="2" s="1"/>
  <c r="G20" i="2"/>
  <c r="G21" i="2"/>
  <c r="G19" i="2"/>
  <c r="G30" i="2"/>
  <c r="G28" i="2"/>
  <c r="G25" i="2"/>
  <c r="G29" i="2"/>
  <c r="G27" i="2"/>
  <c r="G23" i="2"/>
  <c r="G22" i="2"/>
  <c r="G31" i="2"/>
  <c r="I10" i="2" s="1"/>
  <c r="G24" i="2"/>
  <c r="G35" i="2"/>
  <c r="I13" i="2" s="1"/>
  <c r="G18" i="2"/>
  <c r="G26" i="2"/>
  <c r="G32" i="2"/>
  <c r="I11" i="2" s="1"/>
  <c r="G34" i="2"/>
  <c r="G33" i="2"/>
  <c r="G29" i="7"/>
  <c r="I8" i="7" s="1"/>
  <c r="L33" i="8" s="1"/>
  <c r="T33" i="8" s="1"/>
  <c r="G13" i="7"/>
  <c r="I2" i="7" s="1"/>
  <c r="G24" i="7"/>
  <c r="G26" i="7"/>
  <c r="G22" i="7"/>
  <c r="G23" i="7"/>
  <c r="I5" i="7" s="1"/>
  <c r="L30" i="8" s="1"/>
  <c r="T30" i="8" s="1"/>
  <c r="G28" i="7"/>
  <c r="G17" i="7"/>
  <c r="G14" i="7"/>
  <c r="G19" i="7"/>
  <c r="G15" i="7"/>
  <c r="G20" i="7"/>
  <c r="G18" i="7"/>
  <c r="G27" i="7"/>
  <c r="I7" i="7" s="1"/>
  <c r="L32" i="8" s="1"/>
  <c r="T32" i="8" s="1"/>
  <c r="G25" i="7"/>
  <c r="G21" i="7"/>
  <c r="G16" i="7"/>
  <c r="O33" i="8"/>
  <c r="W33" i="8" s="1"/>
  <c r="N31" i="8"/>
  <c r="V31" i="8" s="1"/>
  <c r="H32" i="2" l="1"/>
  <c r="Q25" i="8"/>
  <c r="Y25" i="8" s="1"/>
  <c r="B25" i="8" s="1"/>
  <c r="E60" i="8" s="1"/>
  <c r="H21" i="11"/>
  <c r="I21" i="11" s="1"/>
  <c r="H17" i="11"/>
  <c r="I17" i="11" s="1"/>
  <c r="Q5" i="8"/>
  <c r="Y5" i="8" s="1"/>
  <c r="H19" i="11"/>
  <c r="I19" i="11" s="1"/>
  <c r="H20" i="11"/>
  <c r="I20" i="11" s="1"/>
  <c r="Q19" i="8"/>
  <c r="Y19" i="8" s="1"/>
  <c r="I9" i="11"/>
  <c r="I8" i="11"/>
  <c r="H22" i="11"/>
  <c r="I22" i="11" s="1"/>
  <c r="H23" i="11"/>
  <c r="I23" i="11" s="1"/>
  <c r="Q30" i="8"/>
  <c r="Y30" i="8" s="1"/>
  <c r="Q12" i="8"/>
  <c r="Y12" i="8" s="1"/>
  <c r="H18" i="11"/>
  <c r="I18" i="11" s="1"/>
  <c r="I10" i="5"/>
  <c r="I9" i="5"/>
  <c r="I6" i="5"/>
  <c r="I7" i="5"/>
  <c r="O21" i="8" s="1"/>
  <c r="W21" i="8" s="1"/>
  <c r="N8" i="8"/>
  <c r="V8" i="8" s="1"/>
  <c r="H18" i="4"/>
  <c r="H17" i="4"/>
  <c r="H21" i="4"/>
  <c r="H19" i="4"/>
  <c r="H22" i="4"/>
  <c r="N15" i="8"/>
  <c r="V15" i="8" s="1"/>
  <c r="H20" i="4"/>
  <c r="I5" i="5"/>
  <c r="O14" i="8" s="1"/>
  <c r="W14" i="8" s="1"/>
  <c r="I4" i="5"/>
  <c r="O31" i="8"/>
  <c r="W31" i="8" s="1"/>
  <c r="H31" i="5"/>
  <c r="I8" i="2"/>
  <c r="I9" i="2"/>
  <c r="M26" i="8"/>
  <c r="U26" i="8" s="1"/>
  <c r="B26" i="8" s="1"/>
  <c r="E61" i="8" s="1"/>
  <c r="H39" i="3"/>
  <c r="H38" i="3"/>
  <c r="O34" i="8"/>
  <c r="W34" i="8" s="1"/>
  <c r="H33" i="5"/>
  <c r="H32" i="5"/>
  <c r="H19" i="5"/>
  <c r="O3" i="8"/>
  <c r="W3" i="8" s="1"/>
  <c r="H18" i="5"/>
  <c r="M30" i="8"/>
  <c r="U30" i="8" s="1"/>
  <c r="H34" i="3"/>
  <c r="H35" i="3"/>
  <c r="M24" i="8"/>
  <c r="U24" i="8" s="1"/>
  <c r="H32" i="3"/>
  <c r="H31" i="3"/>
  <c r="M3" i="8"/>
  <c r="U3" i="8" s="1"/>
  <c r="H18" i="3"/>
  <c r="I5" i="3"/>
  <c r="M13" i="8" s="1"/>
  <c r="U13" i="8" s="1"/>
  <c r="I4" i="3"/>
  <c r="I7" i="3"/>
  <c r="M20" i="8" s="1"/>
  <c r="U20" i="8" s="1"/>
  <c r="I6" i="3"/>
  <c r="I6" i="6"/>
  <c r="I7" i="6"/>
  <c r="P21" i="8" s="1"/>
  <c r="X21" i="8" s="1"/>
  <c r="P31" i="8"/>
  <c r="X31" i="8" s="1"/>
  <c r="H30" i="6"/>
  <c r="I30" i="6" s="1"/>
  <c r="I4" i="6"/>
  <c r="I5" i="6"/>
  <c r="P14" i="8" s="1"/>
  <c r="X14" i="8" s="1"/>
  <c r="H18" i="6"/>
  <c r="I18" i="6" s="1"/>
  <c r="H19" i="6"/>
  <c r="I19" i="6" s="1"/>
  <c r="P3" i="8"/>
  <c r="X3" i="8" s="1"/>
  <c r="P24" i="8"/>
  <c r="X24" i="8" s="1"/>
  <c r="I10" i="6"/>
  <c r="I9" i="6"/>
  <c r="H32" i="6"/>
  <c r="I32" i="6" s="1"/>
  <c r="P33" i="8"/>
  <c r="X33" i="8" s="1"/>
  <c r="H31" i="6"/>
  <c r="I31" i="6" s="1"/>
  <c r="I6" i="2"/>
  <c r="I7" i="2"/>
  <c r="K23" i="8" s="1"/>
  <c r="S23" i="8" s="1"/>
  <c r="B23" i="8" s="1"/>
  <c r="E58" i="8" s="1"/>
  <c r="K29" i="8"/>
  <c r="S29" i="8" s="1"/>
  <c r="B29" i="8" s="1"/>
  <c r="E64" i="8" s="1"/>
  <c r="O64" i="8" s="1"/>
  <c r="H33" i="2"/>
  <c r="K30" i="8"/>
  <c r="S30" i="8" s="1"/>
  <c r="K31" i="8"/>
  <c r="S31" i="8" s="1"/>
  <c r="H34" i="2"/>
  <c r="B7" i="8"/>
  <c r="E42" i="8" s="1"/>
  <c r="H26" i="4"/>
  <c r="H27" i="4"/>
  <c r="H28" i="4"/>
  <c r="H29" i="4"/>
  <c r="N30" i="8"/>
  <c r="V30" i="8" s="1"/>
  <c r="H23" i="4"/>
  <c r="H24" i="4"/>
  <c r="H25" i="4"/>
  <c r="N34" i="8"/>
  <c r="V34" i="8" s="1"/>
  <c r="H31" i="4"/>
  <c r="H30" i="4"/>
  <c r="H12" i="7"/>
  <c r="H13" i="7"/>
  <c r="H14" i="7"/>
  <c r="L4" i="8"/>
  <c r="T4" i="8" s="1"/>
  <c r="O17" i="8"/>
  <c r="W17" i="8" s="1"/>
  <c r="H25" i="5"/>
  <c r="H24" i="5"/>
  <c r="B8" i="8"/>
  <c r="E43" i="8" s="1"/>
  <c r="R43" i="8" s="1"/>
  <c r="B15" i="8"/>
  <c r="E50" i="8" s="1"/>
  <c r="R50" i="8" s="1"/>
  <c r="K33" i="8"/>
  <c r="S33" i="8" s="1"/>
  <c r="H35" i="2"/>
  <c r="H36" i="2"/>
  <c r="K34" i="8"/>
  <c r="S34" i="8" s="1"/>
  <c r="I9" i="7"/>
  <c r="H27" i="7" s="1"/>
  <c r="I6" i="7"/>
  <c r="I3" i="7"/>
  <c r="L11" i="8" s="1"/>
  <c r="T11" i="8" s="1"/>
  <c r="I4" i="7"/>
  <c r="L18" i="8" s="1"/>
  <c r="T18" i="8" s="1"/>
  <c r="B18" i="8" s="1"/>
  <c r="E54" i="8" s="1"/>
  <c r="P54" i="8" s="1"/>
  <c r="B96" i="8" l="1"/>
  <c r="C96" i="8"/>
  <c r="E96" i="8"/>
  <c r="F96" i="8"/>
  <c r="G96" i="8"/>
  <c r="H96" i="8"/>
  <c r="I96" i="8"/>
  <c r="Q61" i="8"/>
  <c r="D96" i="8" s="1"/>
  <c r="I77" i="8"/>
  <c r="H77" i="8"/>
  <c r="E77" i="8"/>
  <c r="D77" i="8"/>
  <c r="C77" i="8"/>
  <c r="B77" i="8"/>
  <c r="U60" i="8"/>
  <c r="I95" i="8"/>
  <c r="H95" i="8"/>
  <c r="G95" i="8"/>
  <c r="F95" i="8"/>
  <c r="E95" i="8"/>
  <c r="D95" i="8"/>
  <c r="C95" i="8"/>
  <c r="B95" i="8"/>
  <c r="B21" i="8"/>
  <c r="E56" i="8" s="1"/>
  <c r="M6" i="8"/>
  <c r="U6" i="8" s="1"/>
  <c r="H20" i="3"/>
  <c r="B5" i="8"/>
  <c r="E40" i="8" s="1"/>
  <c r="B19" i="8"/>
  <c r="E53" i="8" s="1"/>
  <c r="B12" i="8"/>
  <c r="E46" i="8" s="1"/>
  <c r="H20" i="5"/>
  <c r="O10" i="8"/>
  <c r="W10" i="8" s="1"/>
  <c r="H23" i="5"/>
  <c r="H22" i="5"/>
  <c r="H21" i="5"/>
  <c r="H24" i="11"/>
  <c r="I24" i="11" s="1"/>
  <c r="H25" i="11"/>
  <c r="I25" i="11" s="1"/>
  <c r="H28" i="11"/>
  <c r="I28" i="11" s="1"/>
  <c r="H29" i="11"/>
  <c r="I29" i="11" s="1"/>
  <c r="H27" i="11"/>
  <c r="I27" i="11" s="1"/>
  <c r="Q32" i="8"/>
  <c r="Y32" i="8" s="1"/>
  <c r="B32" i="8" s="1"/>
  <c r="E67" i="8" s="1"/>
  <c r="H26" i="11"/>
  <c r="I26" i="11" s="1"/>
  <c r="H29" i="5"/>
  <c r="O30" i="8"/>
  <c r="W30" i="8" s="1"/>
  <c r="H30" i="5"/>
  <c r="H27" i="5"/>
  <c r="H28" i="5"/>
  <c r="H26" i="5"/>
  <c r="O27" i="8"/>
  <c r="W27" i="8" s="1"/>
  <c r="H28" i="2"/>
  <c r="B3" i="8"/>
  <c r="E38" i="8" s="1"/>
  <c r="M10" i="8"/>
  <c r="U10" i="8" s="1"/>
  <c r="H23" i="3"/>
  <c r="M17" i="8"/>
  <c r="U17" i="8" s="1"/>
  <c r="H27" i="3"/>
  <c r="B6" i="8"/>
  <c r="E41" i="8" s="1"/>
  <c r="B13" i="8"/>
  <c r="E48" i="8" s="1"/>
  <c r="B20" i="8"/>
  <c r="E55" i="8" s="1"/>
  <c r="B33" i="8"/>
  <c r="E68" i="8" s="1"/>
  <c r="S42" i="8"/>
  <c r="F77" i="8" s="1"/>
  <c r="T42" i="8"/>
  <c r="G77" i="8" s="1"/>
  <c r="P17" i="8"/>
  <c r="X17" i="8" s="1"/>
  <c r="H23" i="6"/>
  <c r="I23" i="6" s="1"/>
  <c r="H24" i="6"/>
  <c r="I24" i="6" s="1"/>
  <c r="P10" i="8"/>
  <c r="X10" i="8" s="1"/>
  <c r="H21" i="6"/>
  <c r="I21" i="6" s="1"/>
  <c r="H20" i="6"/>
  <c r="I20" i="6" s="1"/>
  <c r="H22" i="6"/>
  <c r="I22" i="6" s="1"/>
  <c r="P30" i="8"/>
  <c r="X30" i="8" s="1"/>
  <c r="H29" i="6"/>
  <c r="I29" i="6" s="1"/>
  <c r="H28" i="6"/>
  <c r="I28" i="6" s="1"/>
  <c r="H26" i="2"/>
  <c r="H25" i="2"/>
  <c r="H24" i="2"/>
  <c r="K17" i="8"/>
  <c r="S17" i="8" s="1"/>
  <c r="H29" i="2"/>
  <c r="H27" i="2"/>
  <c r="K24" i="8"/>
  <c r="S24" i="8" s="1"/>
  <c r="H31" i="2"/>
  <c r="H30" i="2"/>
  <c r="B14" i="8"/>
  <c r="E49" i="8" s="1"/>
  <c r="P27" i="8"/>
  <c r="X27" i="8" s="1"/>
  <c r="H27" i="6"/>
  <c r="I27" i="6" s="1"/>
  <c r="H25" i="6"/>
  <c r="I25" i="6" s="1"/>
  <c r="H26" i="6"/>
  <c r="I26" i="6" s="1"/>
  <c r="B4" i="8"/>
  <c r="E39" i="8" s="1"/>
  <c r="P39" i="8" s="1"/>
  <c r="B11" i="8"/>
  <c r="E47" i="8" s="1"/>
  <c r="P47" i="8" s="1"/>
  <c r="L34" i="8"/>
  <c r="T34" i="8" s="1"/>
  <c r="B34" i="8" s="1"/>
  <c r="H29" i="7"/>
  <c r="H26" i="7"/>
  <c r="H28" i="7"/>
  <c r="H23" i="7"/>
  <c r="H24" i="7"/>
  <c r="H22" i="7"/>
  <c r="H17" i="7"/>
  <c r="H16" i="7"/>
  <c r="H15" i="7"/>
  <c r="H19" i="7"/>
  <c r="H21" i="7"/>
  <c r="H20" i="7"/>
  <c r="H18" i="7"/>
  <c r="L31" i="8"/>
  <c r="T31" i="8" s="1"/>
  <c r="B31" i="8" s="1"/>
  <c r="E66" i="8" s="1"/>
  <c r="H25" i="7"/>
  <c r="Q48" i="8" l="1"/>
  <c r="I83" i="8"/>
  <c r="H83" i="8"/>
  <c r="G83" i="8"/>
  <c r="F83" i="8"/>
  <c r="E83" i="8"/>
  <c r="D83" i="8"/>
  <c r="C83" i="8"/>
  <c r="B83" i="8"/>
  <c r="U40" i="8"/>
  <c r="H75" i="8" s="1"/>
  <c r="I75" i="8"/>
  <c r="G75" i="8"/>
  <c r="F75" i="8"/>
  <c r="E75" i="8"/>
  <c r="D75" i="8"/>
  <c r="C75" i="8"/>
  <c r="B75" i="8"/>
  <c r="I102" i="8"/>
  <c r="G102" i="8"/>
  <c r="F102" i="8"/>
  <c r="E102" i="8"/>
  <c r="D102" i="8"/>
  <c r="B102" i="8"/>
  <c r="U68" i="8"/>
  <c r="H103" i="8" s="1"/>
  <c r="I103" i="8"/>
  <c r="D103" i="8"/>
  <c r="C103" i="8"/>
  <c r="Q66" i="8"/>
  <c r="B101" i="8"/>
  <c r="I101" i="8"/>
  <c r="H101" i="8"/>
  <c r="G101" i="8"/>
  <c r="F101" i="8"/>
  <c r="E101" i="8"/>
  <c r="D101" i="8"/>
  <c r="C101" i="8"/>
  <c r="C73" i="8"/>
  <c r="E73" i="8"/>
  <c r="H73" i="8"/>
  <c r="I73" i="8"/>
  <c r="I91" i="8"/>
  <c r="H91" i="8"/>
  <c r="G91" i="8"/>
  <c r="F91" i="8"/>
  <c r="E91" i="8"/>
  <c r="D91" i="8"/>
  <c r="C91" i="8"/>
  <c r="B91" i="8"/>
  <c r="I84" i="8"/>
  <c r="H84" i="8"/>
  <c r="F84" i="8"/>
  <c r="E84" i="8"/>
  <c r="D84" i="8"/>
  <c r="C84" i="8"/>
  <c r="B84" i="8"/>
  <c r="Q41" i="8"/>
  <c r="I76" i="8"/>
  <c r="H76" i="8"/>
  <c r="G76" i="8"/>
  <c r="F76" i="8"/>
  <c r="E76" i="8"/>
  <c r="D76" i="8"/>
  <c r="C76" i="8"/>
  <c r="B76" i="8"/>
  <c r="U53" i="8"/>
  <c r="H88" i="8" s="1"/>
  <c r="I88" i="8"/>
  <c r="G88" i="8"/>
  <c r="F88" i="8"/>
  <c r="E88" i="8"/>
  <c r="D88" i="8"/>
  <c r="C88" i="8"/>
  <c r="B88" i="8"/>
  <c r="U46" i="8"/>
  <c r="I81" i="8"/>
  <c r="H81" i="8"/>
  <c r="G81" i="8"/>
  <c r="F81" i="8"/>
  <c r="E81" i="8"/>
  <c r="D81" i="8"/>
  <c r="C81" i="8"/>
  <c r="B81" i="8"/>
  <c r="Q55" i="8"/>
  <c r="D90" i="8" s="1"/>
  <c r="I90" i="8"/>
  <c r="H90" i="8"/>
  <c r="G90" i="8"/>
  <c r="F90" i="8"/>
  <c r="E90" i="8"/>
  <c r="C90" i="8"/>
  <c r="B90" i="8"/>
  <c r="S56" i="8"/>
  <c r="T56" i="8"/>
  <c r="B27" i="8"/>
  <c r="E62" i="8" s="1"/>
  <c r="U67" i="8"/>
  <c r="H102" i="8" s="1"/>
  <c r="P67" i="8"/>
  <c r="C102" i="8" s="1"/>
  <c r="B30" i="8"/>
  <c r="E65" i="8" s="1"/>
  <c r="B10" i="8"/>
  <c r="E45" i="8" s="1"/>
  <c r="S38" i="8"/>
  <c r="F73" i="8" s="1"/>
  <c r="O38" i="8"/>
  <c r="B73" i="8" s="1"/>
  <c r="T38" i="8"/>
  <c r="G73" i="8" s="1"/>
  <c r="Q38" i="8"/>
  <c r="D73" i="8" s="1"/>
  <c r="B17" i="8"/>
  <c r="E52" i="8" s="1"/>
  <c r="Q68" i="8"/>
  <c r="P68" i="8"/>
  <c r="S49" i="8"/>
  <c r="T49" i="8"/>
  <c r="G84" i="8" s="1"/>
  <c r="B24" i="8"/>
  <c r="S66" i="8"/>
  <c r="O66" i="8"/>
  <c r="R66" i="8"/>
  <c r="T66" i="8"/>
  <c r="P66" i="8"/>
  <c r="U66" i="8"/>
  <c r="E69" i="8"/>
  <c r="I100" i="8" l="1"/>
  <c r="Q69" i="8"/>
  <c r="I104" i="8"/>
  <c r="D104" i="8"/>
  <c r="I80" i="8"/>
  <c r="H80" i="8"/>
  <c r="E80" i="8"/>
  <c r="C80" i="8"/>
  <c r="C87" i="8"/>
  <c r="E87" i="8"/>
  <c r="H87" i="8"/>
  <c r="I87" i="8"/>
  <c r="T62" i="8"/>
  <c r="S62" i="8"/>
  <c r="S65" i="8"/>
  <c r="F100" i="8" s="1"/>
  <c r="T65" i="8"/>
  <c r="G100" i="8" s="1"/>
  <c r="R65" i="8"/>
  <c r="E100" i="8" s="1"/>
  <c r="U65" i="8"/>
  <c r="H100" i="8" s="1"/>
  <c r="P65" i="8"/>
  <c r="C100" i="8" s="1"/>
  <c r="O65" i="8"/>
  <c r="B100" i="8" s="1"/>
  <c r="Q65" i="8"/>
  <c r="D100" i="8" s="1"/>
  <c r="S45" i="8"/>
  <c r="F80" i="8" s="1"/>
  <c r="O45" i="8"/>
  <c r="B80" i="8" s="1"/>
  <c r="Q45" i="8"/>
  <c r="D80" i="8" s="1"/>
  <c r="T45" i="8"/>
  <c r="G80" i="8" s="1"/>
  <c r="S52" i="8"/>
  <c r="F87" i="8" s="1"/>
  <c r="O52" i="8"/>
  <c r="B87" i="8" s="1"/>
  <c r="T52" i="8"/>
  <c r="G87" i="8" s="1"/>
  <c r="Q52" i="8"/>
  <c r="D87" i="8" s="1"/>
  <c r="P69" i="8"/>
  <c r="C104" i="8" s="1"/>
  <c r="U69" i="8"/>
  <c r="H104" i="8" s="1"/>
  <c r="T69" i="8"/>
  <c r="G104" i="8" s="1"/>
  <c r="S69" i="8"/>
  <c r="F104" i="8" s="1"/>
  <c r="R69" i="8"/>
  <c r="E104" i="8" s="1"/>
  <c r="O69" i="8"/>
  <c r="B104" i="8" s="1"/>
  <c r="T68" i="8"/>
  <c r="G103" i="8" s="1"/>
  <c r="S68" i="8"/>
  <c r="F103" i="8" s="1"/>
  <c r="R68" i="8"/>
  <c r="E103" i="8" s="1"/>
  <c r="O68" i="8"/>
  <c r="B103" i="8" s="1"/>
  <c r="D62" i="1"/>
  <c r="F62" i="1" s="1"/>
  <c r="D63" i="1"/>
  <c r="F63" i="1" s="1"/>
  <c r="D61" i="1"/>
  <c r="F61" i="1" s="1"/>
  <c r="D64" i="1"/>
  <c r="F64" i="1" s="1"/>
  <c r="G64" i="1" l="1"/>
  <c r="G62" i="1"/>
  <c r="G63" i="1"/>
  <c r="G61" i="1"/>
</calcChain>
</file>

<file path=xl/sharedStrings.xml><?xml version="1.0" encoding="utf-8"?>
<sst xmlns="http://schemas.openxmlformats.org/spreadsheetml/2006/main" count="665" uniqueCount="242">
  <si>
    <t>Year</t>
  </si>
  <si>
    <t>Good</t>
  </si>
  <si>
    <t>meat</t>
  </si>
  <si>
    <t>fish</t>
  </si>
  <si>
    <t>flour</t>
  </si>
  <si>
    <t>vegetables</t>
  </si>
  <si>
    <t>fruit</t>
  </si>
  <si>
    <t>Amount</t>
  </si>
  <si>
    <t>Link</t>
  </si>
  <si>
    <t>https://assets.publishing.service.gov.uk/media/5a7f0f7740f0b62305b84d2e/Domestic_Food_Consumption_and_Expenditure_1970_and_1971.pdf</t>
  </si>
  <si>
    <t>9.3. Consumption of Meat – The Industrial Revolution in England was not All Bad</t>
  </si>
  <si>
    <t>Microsoft Word - oct interim report.doc</t>
  </si>
  <si>
    <t>Industry</t>
  </si>
  <si>
    <t>Start year</t>
  </si>
  <si>
    <t>End year</t>
  </si>
  <si>
    <t>Midpoint</t>
  </si>
  <si>
    <t>Market1750</t>
  </si>
  <si>
    <t>distributionweight</t>
  </si>
  <si>
    <t>productivity</t>
  </si>
  <si>
    <t>InputFactor</t>
  </si>
  <si>
    <t>eff. Consumption</t>
  </si>
  <si>
    <t>Butchery1820</t>
  </si>
  <si>
    <t>Market1840</t>
  </si>
  <si>
    <t>Butchery1840</t>
  </si>
  <si>
    <t>Butchery1910</t>
  </si>
  <si>
    <t>Butchery1945</t>
  </si>
  <si>
    <t>Market1910</t>
  </si>
  <si>
    <t>Market1945</t>
  </si>
  <si>
    <t>Timeline</t>
  </si>
  <si>
    <t>Supermarket1960</t>
  </si>
  <si>
    <t>Supermarket1980</t>
  </si>
  <si>
    <t>Supermarket1950</t>
  </si>
  <si>
    <t>3.5  oz/man/day</t>
  </si>
  <si>
    <t>5.4 oz/man/day</t>
  </si>
  <si>
    <t>39.53 oz/man/week</t>
  </si>
  <si>
    <t>5.35 oz/man/week</t>
  </si>
  <si>
    <t>87.55 oz/man/week</t>
  </si>
  <si>
    <t>Current eff. Consumption</t>
  </si>
  <si>
    <t>Source consumption</t>
  </si>
  <si>
    <t>Source (interpolated)</t>
  </si>
  <si>
    <t>Source (relative)</t>
  </si>
  <si>
    <t>Adj. Consumption</t>
  </si>
  <si>
    <t>1016 g/man/week</t>
  </si>
  <si>
    <t>2140 g/man/week</t>
  </si>
  <si>
    <t>163 g/man/week</t>
  </si>
  <si>
    <t>ASSUMPTIONS</t>
  </si>
  <si>
    <t>1790 g/man/week</t>
  </si>
  <si>
    <t>flour consumption = all grain products (bread, pastry, flour) consumption (e.g. 'cereals' category)</t>
  </si>
  <si>
    <t>63.19 oz/man/week</t>
  </si>
  <si>
    <t>Fishmongers1820</t>
  </si>
  <si>
    <t>Fishmongers1840</t>
  </si>
  <si>
    <t>Fishmongers1910</t>
  </si>
  <si>
    <t>Fishmongers1945</t>
  </si>
  <si>
    <t>1.0 lb/man/day</t>
  </si>
  <si>
    <t>1.2 lb/man/day</t>
  </si>
  <si>
    <t>Bakery1750</t>
  </si>
  <si>
    <t>Bakery1840</t>
  </si>
  <si>
    <t>Bakery1910</t>
  </si>
  <si>
    <t>Bakery1945</t>
  </si>
  <si>
    <t>Greengrocers1820</t>
  </si>
  <si>
    <t>Greenfrocers1840</t>
  </si>
  <si>
    <t>Greengrocers1910</t>
  </si>
  <si>
    <t>Greengrocers1945</t>
  </si>
  <si>
    <t>60 cal potato/man/day</t>
  </si>
  <si>
    <t>175 cal potato/man/day</t>
  </si>
  <si>
    <t>9.3A. Consumption of Other Foods – The Industrial Revolution in England was not All Bad</t>
  </si>
  <si>
    <t>Midpoint industry</t>
  </si>
  <si>
    <t>Market1840+Greengrocers1840</t>
  </si>
  <si>
    <t>Market1910+Greengrocers1910</t>
  </si>
  <si>
    <t>Greengrocers1945+Supermarket1950</t>
  </si>
  <si>
    <t>9.1. Consumption of Cereals – The Industrial Revolution in England was not All Bad</t>
  </si>
  <si>
    <t>Amount (oz per 10,000 per simumonth)</t>
  </si>
  <si>
    <t>milk</t>
  </si>
  <si>
    <t>2156 ml/man/week</t>
  </si>
  <si>
    <t>0.15 pint/person/day</t>
  </si>
  <si>
    <t>0.11 pint/person/day</t>
  </si>
  <si>
    <t>milk consumption = all dairy products (cheese, cream, etc) until modern processed dairy becomes a thing (1970 onwards - exclude cheese), in liters</t>
  </si>
  <si>
    <t>5.08 pint/man/week</t>
  </si>
  <si>
    <t>Dairy1750</t>
  </si>
  <si>
    <t>Dairy1840</t>
  </si>
  <si>
    <t>Dairy1910</t>
  </si>
  <si>
    <t>NOTES</t>
  </si>
  <si>
    <t>~85 cal fruit/man/day (see note 1)</t>
  </si>
  <si>
    <t>Use 52 calories/100g for an apple for overall fruit calorie to weight calculation</t>
  </si>
  <si>
    <t>23.14 oz/man/week</t>
  </si>
  <si>
    <t>fresh fruit</t>
  </si>
  <si>
    <t>761 g/man/week</t>
  </si>
  <si>
    <t>1909-13</t>
  </si>
  <si>
    <t>The_Urban_Working_-_Class_Household_Diet_1940-1949.pdf</t>
  </si>
  <si>
    <t>41.3 oz/man/week</t>
  </si>
  <si>
    <t>12.6 oz/man/week</t>
  </si>
  <si>
    <t>71.2 oz/man/week</t>
  </si>
  <si>
    <t>97 oz/man/week</t>
  </si>
  <si>
    <t>19 oz/man/week</t>
  </si>
  <si>
    <t>Calories from cereals are given as ~1850/day at the end of the 18th century, and ~1500/day post-Industrial Revolution, so e.g. from 1.2lb/day of flour to 1.0.</t>
  </si>
  <si>
    <t>1934-35</t>
  </si>
  <si>
    <t>45 oz/man/week</t>
  </si>
  <si>
    <t>13.9 oz/man/week</t>
  </si>
  <si>
    <t>64.6 oz/man/week</t>
  </si>
  <si>
    <t>103.5 oz/man/week</t>
  </si>
  <si>
    <t>35.7 oz/man/week</t>
  </si>
  <si>
    <t>3.3 pints/man/week</t>
  </si>
  <si>
    <t>3.5 pints/man/week</t>
  </si>
  <si>
    <t>Modified consumption</t>
  </si>
  <si>
    <t>First ripple</t>
  </si>
  <si>
    <t>Average change</t>
  </si>
  <si>
    <t>Consumption (current)</t>
  </si>
  <si>
    <t>Consumption change</t>
  </si>
  <si>
    <t>Modified Consumption</t>
  </si>
  <si>
    <t>New consumption</t>
  </si>
  <si>
    <t>Consumption (modified)</t>
  </si>
  <si>
    <t>Productivity</t>
  </si>
  <si>
    <t>New Productivity</t>
  </si>
  <si>
    <t>Dist.weight</t>
  </si>
  <si>
    <t>New InputFactor</t>
  </si>
  <si>
    <t>Modified eff. Consumption</t>
  </si>
  <si>
    <t>Greengrocers1840</t>
  </si>
  <si>
    <t>Current eff. Cons.</t>
  </si>
  <si>
    <t>New dist.weight</t>
  </si>
  <si>
    <t>Canadian data will be used, as it is readily available and detailed. It is assumed that relative changes in number and size of stores over time in Canada are mirrored in the UK.</t>
  </si>
  <si>
    <t>Store type</t>
  </si>
  <si>
    <t>Number of stores</t>
  </si>
  <si>
    <t>Floor area (inferred)</t>
  </si>
  <si>
    <t>https://publications.gc.ca/collections/collection_2018/statcan/63-210/CS63-210-1933-eng.pdf</t>
  </si>
  <si>
    <t>https://publications.gc.ca/collections/collection_2018/statcan/63-210/CS63-210-1980.pdf</t>
  </si>
  <si>
    <t>https://publications.gc.ca/collections/Collection-R/Statcan/63-210-XIB/0009863-210-XIB.pdf</t>
  </si>
  <si>
    <t>Supermarket</t>
  </si>
  <si>
    <t>1998 figures for Canadian store floor area will be assumed to be equivalent to modern-day British footprint measurements for the purposes of scaling.</t>
  </si>
  <si>
    <t>Floor area (m2)</t>
  </si>
  <si>
    <t>SOURCES</t>
  </si>
  <si>
    <t>[1]</t>
  </si>
  <si>
    <t>[2]</t>
  </si>
  <si>
    <t>[3]</t>
  </si>
  <si>
    <t>[4]</t>
  </si>
  <si>
    <t>Grocery store</t>
  </si>
  <si>
    <t>Bakery</t>
  </si>
  <si>
    <t>Pharmacies</t>
  </si>
  <si>
    <t>Clothing stores (minus shoes)</t>
  </si>
  <si>
    <t>Furniture + appliance stores</t>
  </si>
  <si>
    <t>Book &amp; stationery stores</t>
  </si>
  <si>
    <t>ft^2 to m2 conversion:</t>
  </si>
  <si>
    <t>Drug stores</t>
  </si>
  <si>
    <t>Ingame industry</t>
  </si>
  <si>
    <t>Bookshop1970</t>
  </si>
  <si>
    <t>Chemist1955</t>
  </si>
  <si>
    <t>Chemist1975</t>
  </si>
  <si>
    <t>ClothesShop1960</t>
  </si>
  <si>
    <t>ClothesShop1990</t>
  </si>
  <si>
    <t>Footprint</t>
  </si>
  <si>
    <t>Relative floor area</t>
  </si>
  <si>
    <t>DepartmentStore1990</t>
  </si>
  <si>
    <t>SupermarketSmall1990</t>
  </si>
  <si>
    <t>Grocer1810</t>
  </si>
  <si>
    <t>Grocer1860</t>
  </si>
  <si>
    <t>Grocer1900</t>
  </si>
  <si>
    <t>Grocer1945</t>
  </si>
  <si>
    <t>Convenience1975</t>
  </si>
  <si>
    <t>N/A?</t>
  </si>
  <si>
    <t>New distweight</t>
  </si>
  <si>
    <t>Number of stores UK today</t>
  </si>
  <si>
    <t>Number of stores/industry</t>
  </si>
  <si>
    <t>Deviation</t>
  </si>
  <si>
    <t>https://publications.gc.ca/collections/collection_2018/statcan/63-210/CS63-210-1960-eng.pdf</t>
  </si>
  <si>
    <t>Meat market</t>
  </si>
  <si>
    <t>Variety stores</t>
  </si>
  <si>
    <t>Clothing stores</t>
  </si>
  <si>
    <t>Hardware stores</t>
  </si>
  <si>
    <t>Furniture stores</t>
  </si>
  <si>
    <t>Grocery &amp; combination stores</t>
  </si>
  <si>
    <t>Grocery stores</t>
  </si>
  <si>
    <t>Combination stores</t>
  </si>
  <si>
    <t>Meat markets</t>
  </si>
  <si>
    <t>Canadian population</t>
  </si>
  <si>
    <t>Relative footprint (pop. Adj)</t>
  </si>
  <si>
    <t>ClothesShop1945</t>
  </si>
  <si>
    <t>Department stores</t>
  </si>
  <si>
    <t>DepartmentStore1960</t>
  </si>
  <si>
    <t>Department stores 1980 calculations</t>
  </si>
  <si>
    <t>Total Major dept. stores</t>
  </si>
  <si>
    <t>Total Major dept. store sales</t>
  </si>
  <si>
    <t>Average major dept. store sales/m2</t>
  </si>
  <si>
    <t>Average major dept. store floorspace accessible to public</t>
  </si>
  <si>
    <t>Total Junior dept. stores</t>
  </si>
  <si>
    <t>Total Junior dept. store sales</t>
  </si>
  <si>
    <t>Average junior dept. store sales/m2</t>
  </si>
  <si>
    <t>Average junior dept. store floorspace accessible to public</t>
  </si>
  <si>
    <t>Total dept store 1980 floorspace accessible to public</t>
  </si>
  <si>
    <t>Average</t>
  </si>
  <si>
    <t>Clothing store floorspace accessible to public, 1980</t>
  </si>
  <si>
    <t>Clothing store floorspace total, 1980</t>
  </si>
  <si>
    <t>Accesssible to public to total ratio, 1980</t>
  </si>
  <si>
    <t>Inferred dept store 1980 total floorspace</t>
  </si>
  <si>
    <t>Department stores 1998 calcs</t>
  </si>
  <si>
    <t>Clothing store floorspace accessible to public, 1998</t>
  </si>
  <si>
    <t>Clothing store floorspace total, 1998</t>
  </si>
  <si>
    <t>Ratio, 1998</t>
  </si>
  <si>
    <t>Inferred dept store 1998 total floorspace</t>
  </si>
  <si>
    <t>Total dept store 1998 floorspace to public</t>
  </si>
  <si>
    <t>new distweight</t>
  </si>
  <si>
    <t>Canned meat</t>
  </si>
  <si>
    <t>Canned fish</t>
  </si>
  <si>
    <t>%</t>
  </si>
  <si>
    <t>Methodology:</t>
  </si>
  <si>
    <t>Consider everything canned or sold as ready meals or already-cooked as 'packaged food'</t>
  </si>
  <si>
    <t>Cheese</t>
  </si>
  <si>
    <t>e.g. for fruit, include fruit juices and 'other fruit products'</t>
  </si>
  <si>
    <t>Total</t>
  </si>
  <si>
    <t>Food type</t>
  </si>
  <si>
    <t>cheese</t>
  </si>
  <si>
    <t>TOTAL</t>
  </si>
  <si>
    <t>Dairy1975</t>
  </si>
  <si>
    <t>Cannery-fish1975</t>
  </si>
  <si>
    <t>distweight</t>
  </si>
  <si>
    <t>canned food</t>
  </si>
  <si>
    <t>Consumption 1970 (oz/week)</t>
  </si>
  <si>
    <t>Dairy1945</t>
  </si>
  <si>
    <t>Cannery-meat-1945</t>
  </si>
  <si>
    <t>Cannery-fruit-1945</t>
  </si>
  <si>
    <t>Cannery-fruit-1975</t>
  </si>
  <si>
    <t>Cannery-meat-1975</t>
  </si>
  <si>
    <t>Cannery-fish-1945</t>
  </si>
  <si>
    <t>% of total ptoduction</t>
  </si>
  <si>
    <t>Normalized</t>
  </si>
  <si>
    <t>Consumption 2000</t>
  </si>
  <si>
    <t>PetrolStation1975</t>
  </si>
  <si>
    <t>Grocers1810</t>
  </si>
  <si>
    <t>Convenience1975+PetrolStation1975</t>
  </si>
  <si>
    <t>canned</t>
  </si>
  <si>
    <t>beer</t>
  </si>
  <si>
    <t>General stores</t>
  </si>
  <si>
    <t>Other food stores (butcher, etc)</t>
  </si>
  <si>
    <t>Canned fruit [1]</t>
  </si>
  <si>
    <t xml:space="preserve">[1] </t>
  </si>
  <si>
    <t>Includes juices, jams, etc</t>
  </si>
  <si>
    <t>Peter Van der Heyden gives acreage of 6,700 for potatoes and market vegetables and 800 for fruit at the end of the 19th century, indicating an 8.375 ratio</t>
  </si>
  <si>
    <t>See note 1</t>
  </si>
  <si>
    <t>Note</t>
  </si>
  <si>
    <t>Made-up</t>
  </si>
  <si>
    <t>Note: subtracted estimated canned fish portion</t>
  </si>
  <si>
    <t>Butchery1945+Market1945</t>
  </si>
  <si>
    <t>Old distweight</t>
  </si>
  <si>
    <t>New crates/mo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</si>
</sst>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xf numFmtId="0" fontId="2" fillId="0" borderId="0" xfId="1"/>
    <xf numFmtId="0" fontId="1" fillId="0" borderId="0" xfId="0" applyFont="1" applyAlignment="1">
      <alignment horizontal="center"/>
    </xf>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0" fontId="1" fillId="0" borderId="1" xfId="0" applyFont="1" applyBorder="1"/>
    <xf numFmtId="0" fontId="0" fillId="0" borderId="1" xfId="0" applyBorder="1"/>
    <xf numFmtId="0" fontId="1" fillId="0" borderId="0" xfId="0" applyFont="1" applyAlignment="1">
      <alignment horizontal="left"/>
    </xf>
    <xf numFmtId="0" fontId="1" fillId="0" borderId="0" xfId="0" applyFont="1" applyAlignment="1">
      <alignment horizontal="center"/>
    </xf>
    <xf numFmtId="0" fontId="0" fillId="0" borderId="0" xfId="0" applyFont="1"/>
    <xf numFmtId="0" fontId="0" fillId="0" borderId="0"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istory.pictures/2020/02/10/9-1-consumption-of-cereals/" TargetMode="External"/><Relationship Id="rId13" Type="http://schemas.openxmlformats.org/officeDocument/2006/relationships/printerSettings" Target="../printerSettings/printerSettings1.bin"/><Relationship Id="rId3" Type="http://schemas.openxmlformats.org/officeDocument/2006/relationships/hyperlink" Target="https://assets.publishing.service.gov.uk/media/5a7f0f7740f0b62305b84d2e/Domestic_Food_Consumption_and_Expenditure_1970_and_1971.pdf" TargetMode="External"/><Relationship Id="rId7" Type="http://schemas.openxmlformats.org/officeDocument/2006/relationships/hyperlink" Target="https://history.pictures/2020/02/10/9-1-consumption-of-cereals/" TargetMode="External"/><Relationship Id="rId12" Type="http://schemas.openxmlformats.org/officeDocument/2006/relationships/hyperlink" Target="https://assets.publishing.service.gov.uk/media/5a7f8e1940f0b62302690313/The_Urban_Working_-_Class_Household_Diet_1940-1949.pdf" TargetMode="External"/><Relationship Id="rId2" Type="http://schemas.openxmlformats.org/officeDocument/2006/relationships/hyperlink" Target="https://history.pictures/2020/02/10/9-3-consumption-of-meat/" TargetMode="External"/><Relationship Id="rId1" Type="http://schemas.openxmlformats.org/officeDocument/2006/relationships/hyperlink" Target="https://history.pictures/2020/02/10/9-3-consumption-of-meat/" TargetMode="External"/><Relationship Id="rId6" Type="http://schemas.openxmlformats.org/officeDocument/2006/relationships/hyperlink" Target="https://history.pictures/2020/10/21/9-4-consumption-of-other-foods/" TargetMode="External"/><Relationship Id="rId11" Type="http://schemas.openxmlformats.org/officeDocument/2006/relationships/hyperlink" Target="https://assets.publishing.service.gov.uk/media/5a7f8e1940f0b62302690313/The_Urban_Working_-_Class_Household_Diet_1940-1949.pdf" TargetMode="External"/><Relationship Id="rId5" Type="http://schemas.openxmlformats.org/officeDocument/2006/relationships/hyperlink" Target="https://history.pictures/2020/10/21/9-4-consumption-of-other-foods/" TargetMode="External"/><Relationship Id="rId10" Type="http://schemas.openxmlformats.org/officeDocument/2006/relationships/hyperlink" Target="https://history.pictures/2020/10/21/9-4-consumption-of-other-foods/" TargetMode="External"/><Relationship Id="rId4" Type="http://schemas.openxmlformats.org/officeDocument/2006/relationships/hyperlink" Target="https://webarchive.nationalarchives.gov.uk/ukgwa/20130104055333mp_/http:/www.defra.gov.uk/statistics/files/defra-stats-food-family-annual-2002.pdf" TargetMode="External"/><Relationship Id="rId9" Type="http://schemas.openxmlformats.org/officeDocument/2006/relationships/hyperlink" Target="https://history.pictures/2020/10/21/9-4-consumption-of-other-foods/"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publications.gc.ca/collections/collection_2018/statcan/63-210/CS63-210-1960-eng.pdf" TargetMode="External"/><Relationship Id="rId1" Type="http://schemas.openxmlformats.org/officeDocument/2006/relationships/hyperlink" Target="https://publications.gc.ca/collections/Collection-R/Statcan/63-210-XIB/0009863-210-XIB.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D15F6-18A6-495C-86EC-32003DCCF29C}">
  <dimension ref="A1:G70"/>
  <sheetViews>
    <sheetView workbookViewId="0">
      <selection activeCell="E12" sqref="E12"/>
    </sheetView>
  </sheetViews>
  <sheetFormatPr defaultRowHeight="15" x14ac:dyDescent="0.25"/>
  <cols>
    <col min="1" max="1" width="19.28515625" customWidth="1"/>
    <col min="2" max="2" width="17.5703125" customWidth="1"/>
    <col min="3" max="3" width="19.7109375" customWidth="1"/>
    <col min="4" max="4" width="33" customWidth="1"/>
    <col min="5" max="5" width="38.42578125" customWidth="1"/>
  </cols>
  <sheetData>
    <row r="1" spans="1:5" x14ac:dyDescent="0.25">
      <c r="A1" s="1" t="s">
        <v>0</v>
      </c>
      <c r="B1" s="1" t="s">
        <v>1</v>
      </c>
      <c r="C1" s="1" t="s">
        <v>7</v>
      </c>
      <c r="D1" s="1" t="s">
        <v>71</v>
      </c>
      <c r="E1" s="1" t="s">
        <v>8</v>
      </c>
    </row>
    <row r="2" spans="1:5" x14ac:dyDescent="0.25">
      <c r="A2">
        <v>1800</v>
      </c>
      <c r="B2" t="s">
        <v>2</v>
      </c>
      <c r="C2" t="s">
        <v>32</v>
      </c>
      <c r="D2">
        <f>3.5*10000*6.4 / 8</f>
        <v>28000</v>
      </c>
      <c r="E2" s="2" t="s">
        <v>10</v>
      </c>
    </row>
    <row r="3" spans="1:5" x14ac:dyDescent="0.25">
      <c r="B3" t="s">
        <v>4</v>
      </c>
      <c r="C3" t="s">
        <v>54</v>
      </c>
      <c r="D3">
        <f>(16*1.2)*6.4*10000/8</f>
        <v>153600</v>
      </c>
      <c r="E3" s="2" t="s">
        <v>70</v>
      </c>
    </row>
    <row r="4" spans="1:5" x14ac:dyDescent="0.25">
      <c r="B4" t="s">
        <v>6</v>
      </c>
      <c r="C4" t="s">
        <v>235</v>
      </c>
      <c r="D4">
        <f>D5/2.125</f>
        <v>9959.5294117647063</v>
      </c>
      <c r="E4" s="2"/>
    </row>
    <row r="5" spans="1:5" x14ac:dyDescent="0.25">
      <c r="B5" t="s">
        <v>5</v>
      </c>
      <c r="C5" t="s">
        <v>63</v>
      </c>
      <c r="D5">
        <f>2.6455*6.4*10000/8</f>
        <v>21164</v>
      </c>
      <c r="E5" s="2" t="s">
        <v>65</v>
      </c>
    </row>
    <row r="6" spans="1:5" x14ac:dyDescent="0.25">
      <c r="B6" t="s">
        <v>72</v>
      </c>
      <c r="C6" t="s">
        <v>74</v>
      </c>
      <c r="D6">
        <f>0.08523922 * 10000 * 6.4 / 8</f>
        <v>681.91376000000002</v>
      </c>
      <c r="E6" s="2" t="s">
        <v>65</v>
      </c>
    </row>
    <row r="7" spans="1:5" x14ac:dyDescent="0.25">
      <c r="A7">
        <v>1850</v>
      </c>
      <c r="B7" t="s">
        <v>72</v>
      </c>
      <c r="C7" t="s">
        <v>75</v>
      </c>
      <c r="D7">
        <f>0.06250876 * 10000 * 6.4 / 8</f>
        <v>500.07007999999996</v>
      </c>
      <c r="E7" s="2" t="s">
        <v>65</v>
      </c>
    </row>
    <row r="8" spans="1:5" x14ac:dyDescent="0.25">
      <c r="B8" t="s">
        <v>5</v>
      </c>
      <c r="C8" t="s">
        <v>64</v>
      </c>
      <c r="D8">
        <f>7.93*6.4*10000/8</f>
        <v>63440</v>
      </c>
      <c r="E8" s="2" t="s">
        <v>65</v>
      </c>
    </row>
    <row r="9" spans="1:5" x14ac:dyDescent="0.25">
      <c r="A9">
        <v>1880</v>
      </c>
      <c r="B9" t="s">
        <v>2</v>
      </c>
      <c r="C9" t="s">
        <v>33</v>
      </c>
      <c r="D9">
        <f xml:space="preserve"> 5.4 * 10000 *6.4 / 8</f>
        <v>43200</v>
      </c>
      <c r="E9" s="2" t="s">
        <v>10</v>
      </c>
    </row>
    <row r="10" spans="1:5" x14ac:dyDescent="0.25">
      <c r="B10" t="s">
        <v>4</v>
      </c>
      <c r="C10" t="s">
        <v>53</v>
      </c>
      <c r="D10">
        <f>(16*1)*6.4*10000/8</f>
        <v>128000</v>
      </c>
      <c r="E10" s="2" t="s">
        <v>70</v>
      </c>
    </row>
    <row r="11" spans="1:5" x14ac:dyDescent="0.25">
      <c r="B11" t="s">
        <v>6</v>
      </c>
      <c r="C11" t="s">
        <v>82</v>
      </c>
      <c r="D11">
        <f>D8/2.125</f>
        <v>29854.117647058825</v>
      </c>
    </row>
    <row r="12" spans="1:5" x14ac:dyDescent="0.25">
      <c r="A12" t="s">
        <v>87</v>
      </c>
      <c r="B12" t="s">
        <v>2</v>
      </c>
      <c r="C12" t="s">
        <v>89</v>
      </c>
      <c r="D12">
        <f>(41.3/7)*10000*6.4/8</f>
        <v>47200</v>
      </c>
      <c r="E12" s="2" t="s">
        <v>88</v>
      </c>
    </row>
    <row r="13" spans="1:5" x14ac:dyDescent="0.25">
      <c r="B13" t="s">
        <v>3</v>
      </c>
      <c r="C13" t="s">
        <v>90</v>
      </c>
      <c r="D13">
        <f>(12.6/7)*10000*6.4/8*(5.35/(5.35+D52))</f>
        <v>11246.715328467153</v>
      </c>
      <c r="E13" t="s">
        <v>238</v>
      </c>
    </row>
    <row r="14" spans="1:5" x14ac:dyDescent="0.25">
      <c r="B14" t="s">
        <v>4</v>
      </c>
      <c r="C14" t="s">
        <v>91</v>
      </c>
      <c r="D14">
        <f>(71.2/7)*10000*6.4/8</f>
        <v>81371.42857142858</v>
      </c>
    </row>
    <row r="15" spans="1:5" x14ac:dyDescent="0.25">
      <c r="B15" t="s">
        <v>5</v>
      </c>
      <c r="C15" t="s">
        <v>92</v>
      </c>
      <c r="D15">
        <f>(97/7)*10000*6.4/8</f>
        <v>110857.14285714287</v>
      </c>
    </row>
    <row r="16" spans="1:5" x14ac:dyDescent="0.25">
      <c r="B16" t="s">
        <v>6</v>
      </c>
      <c r="C16" t="s">
        <v>93</v>
      </c>
      <c r="D16">
        <f>(19/7)*10000*6.4/8</f>
        <v>21714.285714285717</v>
      </c>
    </row>
    <row r="17" spans="1:5" x14ac:dyDescent="0.25">
      <c r="B17" t="s">
        <v>72</v>
      </c>
      <c r="C17" t="s">
        <v>102</v>
      </c>
      <c r="D17">
        <f>(1.98891525/7)*10000*6.4/8</f>
        <v>2273.0459999999998</v>
      </c>
    </row>
    <row r="18" spans="1:5" x14ac:dyDescent="0.25">
      <c r="A18" t="s">
        <v>95</v>
      </c>
      <c r="B18" t="s">
        <v>2</v>
      </c>
      <c r="C18" t="s">
        <v>96</v>
      </c>
      <c r="D18">
        <f>(45/7)*10000*6.4/8</f>
        <v>51428.571428571435</v>
      </c>
      <c r="E18" s="2" t="s">
        <v>88</v>
      </c>
    </row>
    <row r="19" spans="1:5" x14ac:dyDescent="0.25">
      <c r="B19" t="s">
        <v>3</v>
      </c>
      <c r="C19" t="s">
        <v>97</v>
      </c>
      <c r="D19">
        <f>((13.9/7)*10000*6.4/8)*(5.35/(5.35+D52))</f>
        <v>12407.09071949948</v>
      </c>
      <c r="E19" t="s">
        <v>238</v>
      </c>
    </row>
    <row r="20" spans="1:5" x14ac:dyDescent="0.25">
      <c r="B20" t="s">
        <v>4</v>
      </c>
      <c r="C20" t="s">
        <v>98</v>
      </c>
      <c r="D20">
        <f>(64.6/7)*10000*6.4/8</f>
        <v>73828.57142857142</v>
      </c>
    </row>
    <row r="21" spans="1:5" x14ac:dyDescent="0.25">
      <c r="B21" t="s">
        <v>5</v>
      </c>
      <c r="C21" t="s">
        <v>99</v>
      </c>
      <c r="D21">
        <f>(103.5/7)*10000*6.4/8</f>
        <v>118285.7142857143</v>
      </c>
    </row>
    <row r="22" spans="1:5" x14ac:dyDescent="0.25">
      <c r="B22" t="s">
        <v>6</v>
      </c>
      <c r="C22" t="s">
        <v>100</v>
      </c>
      <c r="D22">
        <f>(35.7/7)*10000*6.4/8</f>
        <v>40800.000000000007</v>
      </c>
    </row>
    <row r="23" spans="1:5" x14ac:dyDescent="0.25">
      <c r="B23" t="s">
        <v>72</v>
      </c>
      <c r="C23" t="s">
        <v>101</v>
      </c>
      <c r="D23">
        <f>(1.87526295/7)*10000*6.4/8</f>
        <v>2143.1576571428573</v>
      </c>
    </row>
    <row r="24" spans="1:5" x14ac:dyDescent="0.25">
      <c r="A24">
        <v>1970</v>
      </c>
      <c r="B24" t="s">
        <v>2</v>
      </c>
      <c r="C24" t="s">
        <v>34</v>
      </c>
      <c r="D24">
        <f xml:space="preserve"> (39.53 / 7) *10000*6.4/8</f>
        <v>45177.14285714287</v>
      </c>
      <c r="E24" s="2" t="s">
        <v>9</v>
      </c>
    </row>
    <row r="25" spans="1:5" x14ac:dyDescent="0.25">
      <c r="B25" t="s">
        <v>3</v>
      </c>
      <c r="C25" t="s">
        <v>35</v>
      </c>
      <c r="D25">
        <f>(5.35/7)*6.4*10000/8</f>
        <v>6114.2857142857147</v>
      </c>
    </row>
    <row r="26" spans="1:5" x14ac:dyDescent="0.25">
      <c r="B26" t="s">
        <v>4</v>
      </c>
      <c r="C26" t="s">
        <v>48</v>
      </c>
      <c r="D26">
        <f>(63.19/7)*10000*6.4/8</f>
        <v>72217.14285714287</v>
      </c>
    </row>
    <row r="27" spans="1:5" x14ac:dyDescent="0.25">
      <c r="B27" t="s">
        <v>5</v>
      </c>
      <c r="C27" t="s">
        <v>36</v>
      </c>
      <c r="D27">
        <f>(87.55/7)*10000*6.4/8</f>
        <v>100057.14285714286</v>
      </c>
    </row>
    <row r="28" spans="1:5" x14ac:dyDescent="0.25">
      <c r="B28" t="s">
        <v>85</v>
      </c>
      <c r="C28" t="s">
        <v>84</v>
      </c>
      <c r="D28">
        <f>(23.14/7)*6.4*10000/8</f>
        <v>26445.714285714286</v>
      </c>
    </row>
    <row r="29" spans="1:5" x14ac:dyDescent="0.25">
      <c r="B29" t="s">
        <v>72</v>
      </c>
      <c r="C29" t="s">
        <v>77</v>
      </c>
      <c r="D29">
        <f xml:space="preserve"> (2.88676842 / 7) * 10000 * 6.4 / 8</f>
        <v>3299.1639085714291</v>
      </c>
    </row>
    <row r="30" spans="1:5" x14ac:dyDescent="0.25">
      <c r="B30" t="s">
        <v>213</v>
      </c>
      <c r="D30">
        <f>(D54/7)*10000*6.4/8</f>
        <v>17588.571428571431</v>
      </c>
    </row>
    <row r="31" spans="1:5" x14ac:dyDescent="0.25">
      <c r="A31">
        <v>2000</v>
      </c>
      <c r="B31" t="s">
        <v>2</v>
      </c>
      <c r="C31" t="s">
        <v>42</v>
      </c>
      <c r="D31">
        <f>((1016*0.03527396)/7)*6.4*10000/8</f>
        <v>40958.106697142859</v>
      </c>
      <c r="E31" s="2" t="s">
        <v>11</v>
      </c>
    </row>
    <row r="32" spans="1:5" x14ac:dyDescent="0.25">
      <c r="B32" t="s">
        <v>3</v>
      </c>
      <c r="C32" t="s">
        <v>44</v>
      </c>
      <c r="D32">
        <f>(163/1016)*D31</f>
        <v>6571.0348342857142</v>
      </c>
    </row>
    <row r="33" spans="1:5" x14ac:dyDescent="0.25">
      <c r="B33" t="s">
        <v>4</v>
      </c>
      <c r="C33" t="s">
        <v>46</v>
      </c>
      <c r="D33">
        <f>(1790/1016)*D31</f>
        <v>72160.443885714281</v>
      </c>
    </row>
    <row r="34" spans="1:5" x14ac:dyDescent="0.25">
      <c r="B34" t="s">
        <v>5</v>
      </c>
      <c r="C34" t="s">
        <v>43</v>
      </c>
      <c r="D34">
        <f>(2140/1016)*D31</f>
        <v>86270.027885714284</v>
      </c>
    </row>
    <row r="35" spans="1:5" x14ac:dyDescent="0.25">
      <c r="B35" t="s">
        <v>85</v>
      </c>
      <c r="C35" t="s">
        <v>86</v>
      </c>
      <c r="D35">
        <f>(761/1016)*D31</f>
        <v>30678.266925714288</v>
      </c>
    </row>
    <row r="36" spans="1:5" x14ac:dyDescent="0.25">
      <c r="B36" t="s">
        <v>72</v>
      </c>
      <c r="C36" s="5" t="s">
        <v>73</v>
      </c>
      <c r="D36" s="6">
        <f>(2.156/7)*10000*6.4/8</f>
        <v>2464</v>
      </c>
    </row>
    <row r="37" spans="1:5" x14ac:dyDescent="0.25">
      <c r="B37" t="s">
        <v>213</v>
      </c>
      <c r="D37" s="6">
        <f>((B54*0.03527396) / 7)*10000*6.4/8</f>
        <v>42852.822262857146</v>
      </c>
      <c r="E37" s="4"/>
    </row>
    <row r="38" spans="1:5" x14ac:dyDescent="0.25">
      <c r="A38" s="3" t="s">
        <v>45</v>
      </c>
      <c r="B38" s="3"/>
      <c r="C38" s="4"/>
    </row>
    <row r="39" spans="1:5" x14ac:dyDescent="0.25">
      <c r="A39" s="1">
        <v>1</v>
      </c>
      <c r="B39" s="4" t="s">
        <v>47</v>
      </c>
    </row>
    <row r="40" spans="1:5" x14ac:dyDescent="0.25">
      <c r="A40" s="1">
        <v>2</v>
      </c>
      <c r="B40" t="s">
        <v>76</v>
      </c>
    </row>
    <row r="41" spans="1:5" x14ac:dyDescent="0.25">
      <c r="A41" s="1">
        <v>3</v>
      </c>
      <c r="B41" t="s">
        <v>83</v>
      </c>
    </row>
    <row r="42" spans="1:5" x14ac:dyDescent="0.25">
      <c r="A42" s="1" t="s">
        <v>81</v>
      </c>
    </row>
    <row r="43" spans="1:5" x14ac:dyDescent="0.25">
      <c r="A43" s="1">
        <v>1</v>
      </c>
      <c r="B43" t="s">
        <v>234</v>
      </c>
    </row>
    <row r="44" spans="1:5" x14ac:dyDescent="0.25">
      <c r="A44" s="1">
        <v>2</v>
      </c>
      <c r="B44" t="s">
        <v>94</v>
      </c>
    </row>
    <row r="46" spans="1:5" x14ac:dyDescent="0.25">
      <c r="A46" t="s">
        <v>202</v>
      </c>
      <c r="B46" t="s">
        <v>203</v>
      </c>
    </row>
    <row r="47" spans="1:5" x14ac:dyDescent="0.25">
      <c r="B47" t="s">
        <v>205</v>
      </c>
    </row>
    <row r="49" spans="1:7" x14ac:dyDescent="0.25">
      <c r="B49" t="s">
        <v>223</v>
      </c>
      <c r="C49" t="s">
        <v>201</v>
      </c>
      <c r="D49" t="s">
        <v>214</v>
      </c>
      <c r="E49" t="s">
        <v>201</v>
      </c>
    </row>
    <row r="50" spans="1:7" x14ac:dyDescent="0.25">
      <c r="A50" t="s">
        <v>199</v>
      </c>
      <c r="B50">
        <f>45+126+256</f>
        <v>427</v>
      </c>
      <c r="C50">
        <f>B50/B$54</f>
        <v>0.40169332079021636</v>
      </c>
      <c r="D50">
        <f>0.94+0.22+0.71+1.98</f>
        <v>3.8499999999999996</v>
      </c>
      <c r="E50">
        <f>D50/D$54</f>
        <v>0.25016244314489927</v>
      </c>
      <c r="F50" s="1"/>
    </row>
    <row r="51" spans="1:7" x14ac:dyDescent="0.25">
      <c r="A51" t="s">
        <v>231</v>
      </c>
      <c r="B51">
        <f>360+85</f>
        <v>445</v>
      </c>
      <c r="C51">
        <f>B51/B$54</f>
        <v>0.41862652869238004</v>
      </c>
      <c r="D51">
        <f>2.32+2.29+0.56+1.28</f>
        <v>6.45</v>
      </c>
      <c r="E51">
        <f>D51/D$54</f>
        <v>0.41910331384015592</v>
      </c>
    </row>
    <row r="52" spans="1:7" x14ac:dyDescent="0.25">
      <c r="A52" t="s">
        <v>200</v>
      </c>
      <c r="B52">
        <f>6+31+44</f>
        <v>81</v>
      </c>
      <c r="C52">
        <f>B52/B$54</f>
        <v>7.61994355597366E-2</v>
      </c>
      <c r="D52">
        <f>0.38+0.31+0.14+0.67</f>
        <v>1.5</v>
      </c>
      <c r="E52">
        <f>D52/D$54</f>
        <v>9.7465886939571145E-2</v>
      </c>
    </row>
    <row r="53" spans="1:7" x14ac:dyDescent="0.25">
      <c r="A53" t="s">
        <v>204</v>
      </c>
      <c r="B53">
        <v>110</v>
      </c>
      <c r="C53">
        <f>B53/B$54</f>
        <v>0.10348071495766697</v>
      </c>
      <c r="D53">
        <v>3.59</v>
      </c>
      <c r="E53">
        <f>D53/D$54</f>
        <v>0.23326835607537361</v>
      </c>
    </row>
    <row r="54" spans="1:7" x14ac:dyDescent="0.25">
      <c r="A54" t="s">
        <v>206</v>
      </c>
      <c r="B54" s="1">
        <f>SUM(B50:B53)</f>
        <v>1063</v>
      </c>
      <c r="D54" s="1">
        <f>SUM(D50:D53)</f>
        <v>15.39</v>
      </c>
    </row>
    <row r="56" spans="1:7" x14ac:dyDescent="0.25">
      <c r="A56" t="s">
        <v>232</v>
      </c>
      <c r="B56" t="s">
        <v>233</v>
      </c>
    </row>
    <row r="60" spans="1:7" x14ac:dyDescent="0.25">
      <c r="A60" s="1" t="s">
        <v>12</v>
      </c>
      <c r="B60" s="1" t="s">
        <v>207</v>
      </c>
      <c r="C60" t="s">
        <v>18</v>
      </c>
      <c r="D60" t="s">
        <v>221</v>
      </c>
      <c r="E60" t="s">
        <v>212</v>
      </c>
      <c r="F60" t="s">
        <v>198</v>
      </c>
      <c r="G60" t="s">
        <v>222</v>
      </c>
    </row>
    <row r="61" spans="1:7" x14ac:dyDescent="0.25">
      <c r="A61" s="1" t="s">
        <v>219</v>
      </c>
      <c r="B61" t="s">
        <v>2</v>
      </c>
      <c r="C61">
        <v>103</v>
      </c>
      <c r="D61">
        <f>(C61/C$65)*100</f>
        <v>32.698412698412696</v>
      </c>
      <c r="E61">
        <v>4</v>
      </c>
      <c r="F61" s="1">
        <f>ROUND(((C50*100)/D61)*E61, 0)</f>
        <v>5</v>
      </c>
      <c r="G61">
        <f>ROUND(F61/SUM(F$61:F$64)*E$65,0)</f>
        <v>3</v>
      </c>
    </row>
    <row r="62" spans="1:7" x14ac:dyDescent="0.25">
      <c r="A62" t="s">
        <v>218</v>
      </c>
      <c r="B62" t="s">
        <v>6</v>
      </c>
      <c r="C62">
        <v>103</v>
      </c>
      <c r="D62">
        <f>(C62/C$65)*100</f>
        <v>32.698412698412696</v>
      </c>
      <c r="E62">
        <v>6</v>
      </c>
      <c r="F62" s="1">
        <f>ROUND(((C51*100)/D62)*E62, 0)</f>
        <v>8</v>
      </c>
      <c r="G62">
        <f>ROUND(F62/SUM(F$61:F$64)*E$65,0)</f>
        <v>4</v>
      </c>
    </row>
    <row r="63" spans="1:7" x14ac:dyDescent="0.25">
      <c r="A63" s="1" t="s">
        <v>211</v>
      </c>
      <c r="B63" t="s">
        <v>3</v>
      </c>
      <c r="C63">
        <v>103</v>
      </c>
      <c r="D63">
        <f>(C63/C$65)*100</f>
        <v>32.698412698412696</v>
      </c>
      <c r="E63">
        <v>4</v>
      </c>
      <c r="F63" s="1">
        <f>ROUND(((C52*100)/D63)*E63, 0)</f>
        <v>1</v>
      </c>
      <c r="G63">
        <f>ROUND(F63/SUM(F$61:F$64)*E$65,0)</f>
        <v>1</v>
      </c>
    </row>
    <row r="64" spans="1:7" x14ac:dyDescent="0.25">
      <c r="A64" t="s">
        <v>210</v>
      </c>
      <c r="B64" s="11" t="s">
        <v>208</v>
      </c>
      <c r="C64">
        <v>6</v>
      </c>
      <c r="D64">
        <f>(C64/C$65)*100</f>
        <v>1.9047619047619049</v>
      </c>
      <c r="E64">
        <v>4</v>
      </c>
      <c r="F64" s="1">
        <f>ROUND(((C53*100)/D64)*E64, 0)</f>
        <v>22</v>
      </c>
      <c r="G64">
        <f>ROUND(F64/SUM(F$61:F$64)*E$65,0)</f>
        <v>11</v>
      </c>
    </row>
    <row r="65" spans="1:6" x14ac:dyDescent="0.25">
      <c r="A65" s="1" t="s">
        <v>209</v>
      </c>
      <c r="C65" s="1">
        <f>SUM(C61:C64)</f>
        <v>315</v>
      </c>
      <c r="E65">
        <f>SUM(E61:E64)</f>
        <v>18</v>
      </c>
      <c r="F65" s="1"/>
    </row>
    <row r="66" spans="1:6" x14ac:dyDescent="0.25">
      <c r="A66" t="s">
        <v>216</v>
      </c>
      <c r="B66" t="s">
        <v>2</v>
      </c>
      <c r="C66">
        <v>103</v>
      </c>
      <c r="D66">
        <f>(C66/C$70)*100</f>
        <v>32.924178493798749</v>
      </c>
      <c r="E66">
        <v>6</v>
      </c>
      <c r="F66" s="1">
        <f>ROUND(((E50*100)/D66)*E66, 0)</f>
        <v>5</v>
      </c>
    </row>
    <row r="67" spans="1:6" x14ac:dyDescent="0.25">
      <c r="A67" t="s">
        <v>217</v>
      </c>
      <c r="B67" t="s">
        <v>6</v>
      </c>
      <c r="C67">
        <v>103</v>
      </c>
      <c r="D67">
        <f>(C67/C$70)*100</f>
        <v>32.924178493798749</v>
      </c>
      <c r="E67">
        <v>9</v>
      </c>
      <c r="F67" s="1">
        <f>ROUND(((E51*100)/D67)*E67, 0)</f>
        <v>11</v>
      </c>
    </row>
    <row r="68" spans="1:6" x14ac:dyDescent="0.25">
      <c r="A68" t="s">
        <v>220</v>
      </c>
      <c r="B68" t="s">
        <v>3</v>
      </c>
      <c r="C68">
        <v>103</v>
      </c>
      <c r="D68">
        <f>(C68/C$70)*100</f>
        <v>32.924178493798749</v>
      </c>
      <c r="E68">
        <v>6</v>
      </c>
      <c r="F68" s="1">
        <f>ROUND(((E52*100)/D68)*E68, 0)</f>
        <v>2</v>
      </c>
    </row>
    <row r="69" spans="1:6" x14ac:dyDescent="0.25">
      <c r="A69" t="s">
        <v>215</v>
      </c>
      <c r="B69" t="s">
        <v>208</v>
      </c>
      <c r="C69">
        <v>3.84</v>
      </c>
      <c r="D69">
        <f>(C69/C$70)*100</f>
        <v>1.2274645186037592</v>
      </c>
      <c r="E69">
        <v>6</v>
      </c>
      <c r="F69" s="1">
        <f>ROUND(((E53*100)/D69)*E69, 0)</f>
        <v>114</v>
      </c>
    </row>
    <row r="70" spans="1:6" x14ac:dyDescent="0.25">
      <c r="A70" s="1" t="s">
        <v>209</v>
      </c>
      <c r="C70" s="1">
        <f>SUM(C66:C69)</f>
        <v>312.83999999999997</v>
      </c>
      <c r="E70" s="1">
        <f>SUM(E66:E69)</f>
        <v>27</v>
      </c>
    </row>
  </sheetData>
  <hyperlinks>
    <hyperlink ref="E2" r:id="rId1" display="https://history.pictures/2020/02/10/9-3-consumption-of-meat/" xr:uid="{F6ABE5C8-37CB-4716-879B-64C74DB128F8}"/>
    <hyperlink ref="E9" r:id="rId2" display="https://history.pictures/2020/02/10/9-3-consumption-of-meat/" xr:uid="{0EE12F9B-C523-4FAF-AA87-223AD63C33E5}"/>
    <hyperlink ref="E24" r:id="rId3" xr:uid="{731C3305-BEAA-4468-BD29-D135D35C5112}"/>
    <hyperlink ref="E31" r:id="rId4" display="https://webarchive.nationalarchives.gov.uk/ukgwa/20130104055333mp_/http:/www.defra.gov.uk/statistics/files/defra-stats-food-family-annual-2002.pdf" xr:uid="{D65896A6-5EDA-45A1-BFDD-E3DD440364A5}"/>
    <hyperlink ref="E8" r:id="rId5" display="https://history.pictures/2020/10/21/9-4-consumption-of-other-foods/" xr:uid="{B5BDB095-F4AA-4AEC-BED2-835552E677DA}"/>
    <hyperlink ref="E5" r:id="rId6" display="https://history.pictures/2020/10/21/9-4-consumption-of-other-foods/" xr:uid="{6BDFE8F7-A4B7-4968-BA29-EAEE8DA6DABA}"/>
    <hyperlink ref="E3" r:id="rId7" display="https://history.pictures/2020/02/10/9-1-consumption-of-cereals/" xr:uid="{052EEABF-6CCA-44FB-BDE0-B029A16A356B}"/>
    <hyperlink ref="E10" r:id="rId8" display="https://history.pictures/2020/02/10/9-1-consumption-of-cereals/" xr:uid="{B6988925-7344-42C8-9532-1CBC4BBC80CF}"/>
    <hyperlink ref="E6" r:id="rId9" display="https://history.pictures/2020/10/21/9-4-consumption-of-other-foods/" xr:uid="{9505887F-FD4A-4D74-AA6F-A636530ABB6D}"/>
    <hyperlink ref="E7" r:id="rId10" display="https://history.pictures/2020/10/21/9-4-consumption-of-other-foods/" xr:uid="{2D67D00D-BEEB-4945-9941-84E709BBD8C8}"/>
    <hyperlink ref="E12" r:id="rId11" display="https://assets.publishing.service.gov.uk/media/5a7f8e1940f0b62302690313/The_Urban_Working_-_Class_Household_Diet_1940-1949.pdf" xr:uid="{7390DD77-970B-4383-A9BE-753E26C62AE9}"/>
    <hyperlink ref="E18" r:id="rId12" display="https://assets.publishing.service.gov.uk/media/5a7f8e1940f0b62302690313/The_Urban_Working_-_Class_Household_Diet_1940-1949.pdf" xr:uid="{215CD8F4-3FF1-44C4-AE28-9E5E36C67CCB}"/>
  </hyperlinks>
  <pageMargins left="0.7" right="0.7" top="0.75" bottom="0.75" header="0.3" footer="0.3"/>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2D60E-37D0-4490-9F1B-9577E339A176}">
  <dimension ref="A1:H63"/>
  <sheetViews>
    <sheetView workbookViewId="0">
      <selection activeCell="H15" sqref="H15"/>
    </sheetView>
  </sheetViews>
  <sheetFormatPr defaultRowHeight="15" x14ac:dyDescent="0.25"/>
  <cols>
    <col min="2" max="2" width="44.140625" customWidth="1"/>
    <col min="3" max="3" width="20.5703125" customWidth="1"/>
    <col min="4" max="4" width="13.5703125" customWidth="1"/>
    <col min="5" max="5" width="23.140625" customWidth="1"/>
    <col min="6" max="6" width="25.42578125" customWidth="1"/>
    <col min="7" max="7" width="18" customWidth="1"/>
    <col min="8" max="8" width="19.28515625" customWidth="1"/>
  </cols>
  <sheetData>
    <row r="1" spans="1:8" x14ac:dyDescent="0.25">
      <c r="A1" s="1" t="s">
        <v>0</v>
      </c>
      <c r="B1" s="1" t="s">
        <v>120</v>
      </c>
      <c r="C1" t="s">
        <v>142</v>
      </c>
      <c r="D1" s="1" t="s">
        <v>121</v>
      </c>
      <c r="E1" s="1" t="s">
        <v>128</v>
      </c>
      <c r="F1" s="1" t="s">
        <v>122</v>
      </c>
      <c r="G1" s="1" t="s">
        <v>172</v>
      </c>
      <c r="H1" s="1" t="s">
        <v>173</v>
      </c>
    </row>
    <row r="2" spans="1:8" x14ac:dyDescent="0.25">
      <c r="A2" s="1">
        <v>1933</v>
      </c>
    </row>
    <row r="3" spans="1:8" x14ac:dyDescent="0.25">
      <c r="A3">
        <v>1950</v>
      </c>
      <c r="B3" t="s">
        <v>169</v>
      </c>
      <c r="D3">
        <v>230</v>
      </c>
      <c r="G3">
        <v>14009400</v>
      </c>
    </row>
    <row r="4" spans="1:8" x14ac:dyDescent="0.25">
      <c r="B4" t="s">
        <v>170</v>
      </c>
      <c r="D4">
        <v>879</v>
      </c>
      <c r="G4">
        <v>14009400</v>
      </c>
    </row>
    <row r="5" spans="1:8" x14ac:dyDescent="0.25">
      <c r="B5" t="s">
        <v>135</v>
      </c>
      <c r="D5">
        <v>162</v>
      </c>
      <c r="G5">
        <v>14009400</v>
      </c>
    </row>
    <row r="6" spans="1:8" x14ac:dyDescent="0.25">
      <c r="B6" t="s">
        <v>171</v>
      </c>
      <c r="D6">
        <v>53</v>
      </c>
      <c r="G6">
        <v>14009400</v>
      </c>
    </row>
    <row r="7" spans="1:8" x14ac:dyDescent="0.25">
      <c r="B7" t="s">
        <v>164</v>
      </c>
      <c r="D7">
        <v>560</v>
      </c>
      <c r="G7">
        <v>14009400</v>
      </c>
    </row>
    <row r="8" spans="1:8" x14ac:dyDescent="0.25">
      <c r="B8" t="s">
        <v>137</v>
      </c>
      <c r="C8" t="s">
        <v>174</v>
      </c>
      <c r="D8">
        <f>158+142+458</f>
        <v>758</v>
      </c>
      <c r="F8">
        <f>(E$27/D$27)*D8</f>
        <v>343100.98815165256</v>
      </c>
      <c r="G8">
        <v>14009400</v>
      </c>
      <c r="H8">
        <f>((F8/E$31)*H$31)*(G$31/G8)</f>
        <v>14.90233829609822</v>
      </c>
    </row>
    <row r="9" spans="1:8" x14ac:dyDescent="0.25">
      <c r="B9" t="s">
        <v>166</v>
      </c>
      <c r="D9">
        <v>49</v>
      </c>
      <c r="G9">
        <v>14009400</v>
      </c>
    </row>
    <row r="10" spans="1:8" x14ac:dyDescent="0.25">
      <c r="B10" t="s">
        <v>167</v>
      </c>
      <c r="D10">
        <v>184</v>
      </c>
      <c r="G10">
        <v>14009400</v>
      </c>
    </row>
    <row r="11" spans="1:8" x14ac:dyDescent="0.25">
      <c r="B11" t="s">
        <v>141</v>
      </c>
      <c r="D11">
        <v>320</v>
      </c>
      <c r="G11">
        <v>14009400</v>
      </c>
    </row>
    <row r="12" spans="1:8" x14ac:dyDescent="0.25">
      <c r="A12" s="1">
        <v>1960</v>
      </c>
      <c r="B12" t="s">
        <v>168</v>
      </c>
      <c r="C12" t="s">
        <v>31</v>
      </c>
      <c r="D12">
        <v>1494</v>
      </c>
      <c r="F12">
        <f>(E$24/D$24)*D12</f>
        <v>124689.40390181726</v>
      </c>
      <c r="G12">
        <v>18238200</v>
      </c>
      <c r="H12">
        <f>(F12/E$31)*H$31*(G$31/G20)</f>
        <v>4.1600596661821294</v>
      </c>
    </row>
    <row r="13" spans="1:8" x14ac:dyDescent="0.25">
      <c r="G13">
        <v>18238200</v>
      </c>
    </row>
    <row r="14" spans="1:8" x14ac:dyDescent="0.25">
      <c r="B14" t="s">
        <v>135</v>
      </c>
      <c r="D14">
        <v>250</v>
      </c>
      <c r="F14">
        <f>(E$24/D$24)*D14</f>
        <v>20865.02742667625</v>
      </c>
      <c r="G14">
        <v>18238200</v>
      </c>
      <c r="H14">
        <f>(F14/E$31)*H$31*(G$31/G20)</f>
        <v>0.69612778885243143</v>
      </c>
    </row>
    <row r="15" spans="1:8" x14ac:dyDescent="0.25">
      <c r="B15" t="s">
        <v>163</v>
      </c>
      <c r="C15" t="s">
        <v>25</v>
      </c>
      <c r="D15">
        <v>50</v>
      </c>
      <c r="F15">
        <f>(E38/D38)*D15</f>
        <v>14632.633587786258</v>
      </c>
      <c r="G15">
        <v>18238200</v>
      </c>
      <c r="H15">
        <f>(F15/E$31)*H$31</f>
        <v>0.29385028798945501</v>
      </c>
    </row>
    <row r="16" spans="1:8" x14ac:dyDescent="0.25">
      <c r="B16" t="s">
        <v>164</v>
      </c>
      <c r="D16">
        <v>780</v>
      </c>
      <c r="G16">
        <v>18238200</v>
      </c>
      <c r="H16">
        <f>(F16/E$31)*H$31</f>
        <v>0</v>
      </c>
    </row>
    <row r="17" spans="1:8" x14ac:dyDescent="0.25">
      <c r="B17" t="s">
        <v>165</v>
      </c>
      <c r="D17">
        <f>222+707+214</f>
        <v>1143</v>
      </c>
      <c r="F17">
        <f>(E$27/D$27)*D17</f>
        <v>517367.32118382439</v>
      </c>
      <c r="G17">
        <v>18238200</v>
      </c>
      <c r="H17">
        <f>(F17/E$31)*H$31*(G$31/G20)</f>
        <v>17.261121299066179</v>
      </c>
    </row>
    <row r="18" spans="1:8" x14ac:dyDescent="0.25">
      <c r="B18" t="s">
        <v>166</v>
      </c>
      <c r="D18">
        <v>169</v>
      </c>
      <c r="G18">
        <v>18238200</v>
      </c>
      <c r="H18">
        <f>(F18/E$31)*H$31</f>
        <v>0</v>
      </c>
    </row>
    <row r="19" spans="1:8" x14ac:dyDescent="0.25">
      <c r="B19" t="s">
        <v>167</v>
      </c>
      <c r="D19">
        <v>212</v>
      </c>
      <c r="F19" t="e">
        <f>(E28/D28)*D19</f>
        <v>#DIV/0!</v>
      </c>
      <c r="G19">
        <v>18238200</v>
      </c>
      <c r="H19" t="e">
        <f>(F19/E$31)*H$31</f>
        <v>#DIV/0!</v>
      </c>
    </row>
    <row r="20" spans="1:8" x14ac:dyDescent="0.25">
      <c r="B20" t="s">
        <v>141</v>
      </c>
      <c r="D20">
        <v>383</v>
      </c>
      <c r="F20">
        <f>(E25/D25)*D20</f>
        <v>38103.151058819873</v>
      </c>
      <c r="G20">
        <v>18238200</v>
      </c>
      <c r="H20">
        <f>(((F20/E$31)*H$31)*(G$31/G20))</f>
        <v>1.2712498168573834</v>
      </c>
    </row>
    <row r="21" spans="1:8" x14ac:dyDescent="0.25">
      <c r="A21" s="1">
        <v>1980</v>
      </c>
      <c r="B21" t="s">
        <v>126</v>
      </c>
      <c r="C21" t="s">
        <v>29</v>
      </c>
      <c r="D21">
        <v>1705</v>
      </c>
      <c r="E21">
        <f>36304160/C42</f>
        <v>3372766.8338822289</v>
      </c>
      <c r="G21">
        <v>24819900</v>
      </c>
      <c r="H21">
        <f>(E21/E$31)*H$31*(G$31/G29)</f>
        <v>82.687198110902756</v>
      </c>
    </row>
    <row r="22" spans="1:8" x14ac:dyDescent="0.25">
      <c r="B22" t="s">
        <v>163</v>
      </c>
      <c r="D22">
        <v>28</v>
      </c>
      <c r="F22">
        <f>(E24/D24)*D22</f>
        <v>2336.8830717877399</v>
      </c>
      <c r="G22">
        <v>24819900</v>
      </c>
    </row>
    <row r="23" spans="1:8" x14ac:dyDescent="0.25">
      <c r="B23" t="s">
        <v>134</v>
      </c>
      <c r="G23">
        <v>24819900</v>
      </c>
    </row>
    <row r="24" spans="1:8" x14ac:dyDescent="0.25">
      <c r="B24" t="s">
        <v>135</v>
      </c>
      <c r="D24">
        <v>28</v>
      </c>
      <c r="E24">
        <f>25154/C42</f>
        <v>2336.8830717877399</v>
      </c>
      <c r="G24">
        <v>24819900</v>
      </c>
      <c r="H24">
        <f>(E24/E$31)*H$31*(G$31/G29)</f>
        <v>5.7291334692268006E-2</v>
      </c>
    </row>
    <row r="25" spans="1:8" x14ac:dyDescent="0.25">
      <c r="B25" t="s">
        <v>141</v>
      </c>
      <c r="C25" t="s">
        <v>144</v>
      </c>
      <c r="D25">
        <v>531</v>
      </c>
      <c r="E25">
        <f>568626/C42</f>
        <v>52827.084105047921</v>
      </c>
      <c r="G25">
        <v>24819900</v>
      </c>
      <c r="H25">
        <f>(E25/E$31)*H$31*(G$31/G29)*(G$31/G29)</f>
        <v>1.5810912357314428</v>
      </c>
    </row>
    <row r="26" spans="1:8" x14ac:dyDescent="0.25">
      <c r="B26" t="s">
        <v>229</v>
      </c>
      <c r="C26" t="s">
        <v>156</v>
      </c>
      <c r="D26">
        <v>222</v>
      </c>
      <c r="E26">
        <f>2562641/C42</f>
        <v>238077.13969822714</v>
      </c>
      <c r="G26">
        <v>24819900</v>
      </c>
      <c r="H26">
        <f>(E26/E$31)*H$31*(G$31/G29)</f>
        <v>5.8367306681692117</v>
      </c>
    </row>
    <row r="27" spans="1:8" x14ac:dyDescent="0.25">
      <c r="B27" t="s">
        <v>137</v>
      </c>
      <c r="C27" t="s">
        <v>146</v>
      </c>
      <c r="D27">
        <f>683+1489+117+887+130</f>
        <v>3306</v>
      </c>
      <c r="E27">
        <f>(4194002+4284894+294398+6749058+585057)/C42</f>
        <v>1496427.2649463897</v>
      </c>
      <c r="G27">
        <v>24819900</v>
      </c>
      <c r="H27">
        <f>(E27/E$31)*H$31*(G$31/G29)</f>
        <v>36.686608891001427</v>
      </c>
    </row>
    <row r="28" spans="1:8" x14ac:dyDescent="0.25">
      <c r="B28" t="s">
        <v>138</v>
      </c>
      <c r="G28">
        <v>24819900</v>
      </c>
    </row>
    <row r="29" spans="1:8" x14ac:dyDescent="0.25">
      <c r="B29" t="s">
        <v>139</v>
      </c>
      <c r="C29" t="s">
        <v>143</v>
      </c>
      <c r="D29">
        <v>464</v>
      </c>
      <c r="E29">
        <f>194862/C42</f>
        <v>18103.272208583228</v>
      </c>
      <c r="G29">
        <v>24819900</v>
      </c>
      <c r="H29">
        <f>(E29/E$31)*H$31*(G$31/G29)</f>
        <v>0.4438222175719459</v>
      </c>
    </row>
    <row r="30" spans="1:8" x14ac:dyDescent="0.25">
      <c r="B30" t="s">
        <v>175</v>
      </c>
      <c r="C30" t="s">
        <v>176</v>
      </c>
      <c r="D30">
        <f>C50+C54</f>
        <v>752</v>
      </c>
      <c r="E30">
        <f>C63</f>
        <v>2591919.9914207789</v>
      </c>
      <c r="G30">
        <v>24819900</v>
      </c>
      <c r="H30">
        <f>(E30/E$31)*H$31*(G$31/G30)</f>
        <v>63.543853570075441</v>
      </c>
    </row>
    <row r="31" spans="1:8" x14ac:dyDescent="0.25">
      <c r="A31" s="1">
        <v>1998</v>
      </c>
      <c r="B31" t="s">
        <v>126</v>
      </c>
      <c r="C31" t="s">
        <v>30</v>
      </c>
      <c r="D31">
        <v>1481</v>
      </c>
      <c r="E31">
        <v>4979622</v>
      </c>
      <c r="G31">
        <v>30300400</v>
      </c>
      <c r="H31">
        <v>100</v>
      </c>
    </row>
    <row r="32" spans="1:8" x14ac:dyDescent="0.25">
      <c r="B32" t="s">
        <v>134</v>
      </c>
      <c r="D32">
        <v>1693</v>
      </c>
      <c r="E32">
        <v>366963</v>
      </c>
      <c r="G32">
        <v>30300400</v>
      </c>
      <c r="H32">
        <f>(E32/E31)*H31</f>
        <v>7.3692942958320931</v>
      </c>
    </row>
    <row r="33" spans="1:8" x14ac:dyDescent="0.25">
      <c r="B33" t="s">
        <v>136</v>
      </c>
      <c r="C33" t="s">
        <v>145</v>
      </c>
      <c r="D33">
        <v>827</v>
      </c>
      <c r="E33">
        <v>463960</v>
      </c>
      <c r="G33">
        <v>30300400</v>
      </c>
      <c r="H33">
        <f>(E33/E$31)*H$31</f>
        <v>9.3171730705664011</v>
      </c>
    </row>
    <row r="34" spans="1:8" x14ac:dyDescent="0.25">
      <c r="B34" t="s">
        <v>137</v>
      </c>
      <c r="C34" t="s">
        <v>147</v>
      </c>
      <c r="D34">
        <f>821+3613+370+2774</f>
        <v>7578</v>
      </c>
      <c r="E34">
        <f>265751+753638+85192+1627134</f>
        <v>2731715</v>
      </c>
      <c r="G34">
        <v>30300400</v>
      </c>
      <c r="H34">
        <f>(E34/E$31)*H$31</f>
        <v>54.857878770717939</v>
      </c>
    </row>
    <row r="35" spans="1:8" x14ac:dyDescent="0.25">
      <c r="B35" t="s">
        <v>138</v>
      </c>
      <c r="G35">
        <v>30300400</v>
      </c>
    </row>
    <row r="36" spans="1:8" x14ac:dyDescent="0.25">
      <c r="B36" t="s">
        <v>139</v>
      </c>
      <c r="C36" t="s">
        <v>157</v>
      </c>
      <c r="D36">
        <v>858</v>
      </c>
      <c r="E36">
        <v>325108</v>
      </c>
      <c r="G36">
        <v>30300400</v>
      </c>
      <c r="H36">
        <f>(E36/E$31)*H$31</f>
        <v>6.5287686495079349</v>
      </c>
    </row>
    <row r="37" spans="1:8" x14ac:dyDescent="0.25">
      <c r="B37" t="s">
        <v>175</v>
      </c>
      <c r="C37" t="s">
        <v>150</v>
      </c>
      <c r="D37">
        <v>810</v>
      </c>
      <c r="E37">
        <f>F63</f>
        <v>7559015.1350792805</v>
      </c>
      <c r="G37">
        <v>30300400</v>
      </c>
      <c r="H37">
        <f>(E37/E$31)*H$31</f>
        <v>151.79897460247545</v>
      </c>
    </row>
    <row r="38" spans="1:8" x14ac:dyDescent="0.25">
      <c r="B38" t="s">
        <v>230</v>
      </c>
      <c r="D38">
        <v>262</v>
      </c>
      <c r="E38">
        <v>76675</v>
      </c>
      <c r="G38">
        <v>30300400</v>
      </c>
      <c r="H38">
        <f>(E38/E$31)*H$31</f>
        <v>1.5397755090647443</v>
      </c>
    </row>
    <row r="39" spans="1:8" x14ac:dyDescent="0.25">
      <c r="A39" s="1" t="s">
        <v>45</v>
      </c>
    </row>
    <row r="40" spans="1:8" x14ac:dyDescent="0.25">
      <c r="A40" s="1">
        <v>1</v>
      </c>
      <c r="B40" t="s">
        <v>119</v>
      </c>
    </row>
    <row r="41" spans="1:8" x14ac:dyDescent="0.25">
      <c r="A41" s="1">
        <v>2</v>
      </c>
      <c r="B41" t="s">
        <v>127</v>
      </c>
    </row>
    <row r="42" spans="1:8" x14ac:dyDescent="0.25">
      <c r="A42">
        <v>3</v>
      </c>
      <c r="B42" t="s">
        <v>140</v>
      </c>
      <c r="C42">
        <f xml:space="preserve"> 10.7639104</f>
        <v>10.7639104</v>
      </c>
    </row>
    <row r="43" spans="1:8" x14ac:dyDescent="0.25">
      <c r="A43" s="1" t="s">
        <v>129</v>
      </c>
    </row>
    <row r="44" spans="1:8" x14ac:dyDescent="0.25">
      <c r="A44" s="1" t="s">
        <v>130</v>
      </c>
      <c r="B44" t="s">
        <v>123</v>
      </c>
    </row>
    <row r="45" spans="1:8" x14ac:dyDescent="0.25">
      <c r="A45" s="1" t="s">
        <v>131</v>
      </c>
      <c r="B45" s="2" t="s">
        <v>162</v>
      </c>
    </row>
    <row r="46" spans="1:8" x14ac:dyDescent="0.25">
      <c r="A46" s="1" t="s">
        <v>132</v>
      </c>
      <c r="B46" t="s">
        <v>124</v>
      </c>
    </row>
    <row r="47" spans="1:8" x14ac:dyDescent="0.25">
      <c r="A47" s="1" t="s">
        <v>133</v>
      </c>
      <c r="B47" s="2" t="s">
        <v>125</v>
      </c>
    </row>
    <row r="49" spans="1:6" x14ac:dyDescent="0.25">
      <c r="B49" t="s">
        <v>177</v>
      </c>
      <c r="C49" s="1" t="s">
        <v>132</v>
      </c>
      <c r="E49" t="s">
        <v>192</v>
      </c>
    </row>
    <row r="50" spans="1:6" x14ac:dyDescent="0.25">
      <c r="A50" s="4" t="s">
        <v>178</v>
      </c>
      <c r="B50" s="4"/>
      <c r="C50">
        <v>324</v>
      </c>
    </row>
    <row r="51" spans="1:6" x14ac:dyDescent="0.25">
      <c r="A51" s="4" t="s">
        <v>179</v>
      </c>
      <c r="B51" s="4"/>
      <c r="C51">
        <v>6309868</v>
      </c>
    </row>
    <row r="52" spans="1:6" x14ac:dyDescent="0.25">
      <c r="A52" s="4" t="s">
        <v>180</v>
      </c>
      <c r="B52" s="4"/>
      <c r="C52">
        <v>2018</v>
      </c>
    </row>
    <row r="53" spans="1:6" x14ac:dyDescent="0.25">
      <c r="A53" s="9" t="s">
        <v>181</v>
      </c>
      <c r="B53" s="9"/>
      <c r="C53">
        <f>C51/C52</f>
        <v>3126.7928642220022</v>
      </c>
    </row>
    <row r="54" spans="1:6" x14ac:dyDescent="0.25">
      <c r="A54" s="4" t="s">
        <v>182</v>
      </c>
      <c r="B54" s="4"/>
      <c r="C54">
        <v>428</v>
      </c>
    </row>
    <row r="55" spans="1:6" x14ac:dyDescent="0.25">
      <c r="A55" s="4" t="s">
        <v>183</v>
      </c>
      <c r="B55" s="4"/>
      <c r="C55">
        <v>3287388</v>
      </c>
    </row>
    <row r="56" spans="1:6" x14ac:dyDescent="0.25">
      <c r="A56" s="4" t="s">
        <v>184</v>
      </c>
      <c r="B56" s="4"/>
      <c r="C56">
        <v>1309</v>
      </c>
    </row>
    <row r="57" spans="1:6" x14ac:dyDescent="0.25">
      <c r="A57" s="9" t="s">
        <v>185</v>
      </c>
      <c r="B57" s="9"/>
      <c r="C57">
        <f>C55/C56</f>
        <v>2511.3735676088618</v>
      </c>
    </row>
    <row r="58" spans="1:6" x14ac:dyDescent="0.25">
      <c r="A58" s="9" t="s">
        <v>186</v>
      </c>
      <c r="B58" s="9"/>
      <c r="C58">
        <f>C53*C50+C57*C54</f>
        <v>2087948.7749445215</v>
      </c>
      <c r="D58" s="3" t="s">
        <v>197</v>
      </c>
      <c r="E58" s="3"/>
      <c r="F58">
        <f>6647973</f>
        <v>6647973</v>
      </c>
    </row>
    <row r="59" spans="1:6" x14ac:dyDescent="0.25">
      <c r="B59" t="s">
        <v>187</v>
      </c>
      <c r="C59">
        <f>C58/(C54+C50)</f>
        <v>2776.5276262560128</v>
      </c>
    </row>
    <row r="60" spans="1:6" x14ac:dyDescent="0.25">
      <c r="A60" s="5" t="s">
        <v>188</v>
      </c>
      <c r="B60" s="5"/>
      <c r="C60">
        <f>(3527821+3597819+260810+5589045)/C42</f>
        <v>1205462.9328761413</v>
      </c>
      <c r="D60" s="5" t="s">
        <v>193</v>
      </c>
      <c r="E60" s="5"/>
      <c r="F60">
        <f>(248372+672707+79165+1402234)</f>
        <v>2402478</v>
      </c>
    </row>
    <row r="61" spans="1:6" x14ac:dyDescent="0.25">
      <c r="B61" t="s">
        <v>189</v>
      </c>
      <c r="C61">
        <f>E27</f>
        <v>1496427.2649463897</v>
      </c>
      <c r="D61" s="5" t="s">
        <v>194</v>
      </c>
      <c r="E61" s="5"/>
      <c r="F61">
        <f>E34</f>
        <v>2731715</v>
      </c>
    </row>
    <row r="62" spans="1:6" x14ac:dyDescent="0.25">
      <c r="B62" t="s">
        <v>190</v>
      </c>
      <c r="C62">
        <f>C60/C61</f>
        <v>0.80556065845226876</v>
      </c>
      <c r="D62" s="5" t="s">
        <v>195</v>
      </c>
      <c r="E62" s="5"/>
      <c r="F62">
        <f>F60/F61</f>
        <v>0.87947608004495348</v>
      </c>
    </row>
    <row r="63" spans="1:6" x14ac:dyDescent="0.25">
      <c r="B63" s="1" t="s">
        <v>191</v>
      </c>
      <c r="C63">
        <f>C58/C62</f>
        <v>2591919.9914207789</v>
      </c>
      <c r="D63" s="3" t="s">
        <v>196</v>
      </c>
      <c r="E63" s="3"/>
      <c r="F63">
        <f>F58/F62</f>
        <v>7559015.1350792805</v>
      </c>
    </row>
  </sheetData>
  <hyperlinks>
    <hyperlink ref="B47" r:id="rId1" xr:uid="{E4BEADCF-8F16-45DC-817D-FE1FD3FB064D}"/>
    <hyperlink ref="B45" r:id="rId2" xr:uid="{7B7D0923-A61B-48F7-A2E2-86A3AB3E690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8063F-8621-472E-B7CA-29111BDF18DD}">
  <dimension ref="A1:J31"/>
  <sheetViews>
    <sheetView topLeftCell="A16" workbookViewId="0">
      <selection activeCell="E10" sqref="E10"/>
    </sheetView>
  </sheetViews>
  <sheetFormatPr defaultRowHeight="15" x14ac:dyDescent="0.25"/>
  <cols>
    <col min="1" max="2" width="21.42578125" customWidth="1"/>
    <col min="3" max="3" width="13.42578125" customWidth="1"/>
    <col min="4" max="4" width="20.140625" customWidth="1"/>
    <col min="5" max="5" width="18.85546875" customWidth="1"/>
    <col min="6" max="6" width="25.7109375" customWidth="1"/>
  </cols>
  <sheetData>
    <row r="1" spans="1:10" x14ac:dyDescent="0.25">
      <c r="A1" s="1" t="s">
        <v>12</v>
      </c>
      <c r="B1" s="1" t="s">
        <v>240</v>
      </c>
      <c r="C1" s="1" t="s">
        <v>148</v>
      </c>
      <c r="D1" s="1" t="s">
        <v>149</v>
      </c>
      <c r="E1" s="1" t="s">
        <v>158</v>
      </c>
      <c r="F1" s="1" t="s">
        <v>159</v>
      </c>
      <c r="G1" s="1" t="s">
        <v>160</v>
      </c>
      <c r="J1" s="1" t="s">
        <v>236</v>
      </c>
    </row>
    <row r="2" spans="1:10" x14ac:dyDescent="0.25">
      <c r="A2" t="s">
        <v>59</v>
      </c>
      <c r="E2">
        <v>8</v>
      </c>
      <c r="J2" t="s">
        <v>237</v>
      </c>
    </row>
    <row r="3" spans="1:10" x14ac:dyDescent="0.25">
      <c r="A3" t="s">
        <v>60</v>
      </c>
      <c r="E3">
        <v>16</v>
      </c>
      <c r="J3" t="s">
        <v>237</v>
      </c>
    </row>
    <row r="4" spans="1:10" x14ac:dyDescent="0.25">
      <c r="A4" t="s">
        <v>61</v>
      </c>
      <c r="E4">
        <v>24</v>
      </c>
      <c r="J4" t="s">
        <v>237</v>
      </c>
    </row>
    <row r="5" spans="1:10" x14ac:dyDescent="0.25">
      <c r="A5" t="s">
        <v>62</v>
      </c>
      <c r="E5">
        <v>7</v>
      </c>
      <c r="J5" t="s">
        <v>237</v>
      </c>
    </row>
    <row r="6" spans="1:10" x14ac:dyDescent="0.25">
      <c r="A6" t="s">
        <v>49</v>
      </c>
      <c r="B6">
        <v>27</v>
      </c>
      <c r="E6">
        <v>54</v>
      </c>
      <c r="J6" t="s">
        <v>237</v>
      </c>
    </row>
    <row r="7" spans="1:10" x14ac:dyDescent="0.25">
      <c r="A7" t="s">
        <v>50</v>
      </c>
      <c r="B7">
        <v>27</v>
      </c>
      <c r="E7">
        <v>54</v>
      </c>
      <c r="J7" t="s">
        <v>237</v>
      </c>
    </row>
    <row r="8" spans="1:10" x14ac:dyDescent="0.25">
      <c r="A8" t="s">
        <v>51</v>
      </c>
      <c r="B8">
        <v>21</v>
      </c>
      <c r="E8">
        <v>52</v>
      </c>
      <c r="J8" t="s">
        <v>237</v>
      </c>
    </row>
    <row r="9" spans="1:10" x14ac:dyDescent="0.25">
      <c r="A9" t="s">
        <v>52</v>
      </c>
      <c r="B9">
        <v>12</v>
      </c>
      <c r="E9">
        <v>20</v>
      </c>
      <c r="J9" t="s">
        <v>237</v>
      </c>
    </row>
    <row r="10" spans="1:10" x14ac:dyDescent="0.25">
      <c r="A10" t="s">
        <v>152</v>
      </c>
      <c r="E10">
        <v>8</v>
      </c>
      <c r="J10" t="s">
        <v>237</v>
      </c>
    </row>
    <row r="11" spans="1:10" x14ac:dyDescent="0.25">
      <c r="A11" t="s">
        <v>153</v>
      </c>
      <c r="E11">
        <v>16</v>
      </c>
      <c r="J11" t="s">
        <v>237</v>
      </c>
    </row>
    <row r="12" spans="1:10" x14ac:dyDescent="0.25">
      <c r="A12" t="s">
        <v>154</v>
      </c>
      <c r="E12">
        <v>20</v>
      </c>
      <c r="J12" t="s">
        <v>237</v>
      </c>
    </row>
    <row r="13" spans="1:10" x14ac:dyDescent="0.25">
      <c r="A13" t="s">
        <v>155</v>
      </c>
      <c r="E13">
        <v>20</v>
      </c>
      <c r="J13" t="s">
        <v>237</v>
      </c>
    </row>
    <row r="14" spans="1:10" x14ac:dyDescent="0.25">
      <c r="A14" t="s">
        <v>16</v>
      </c>
      <c r="B14">
        <v>75</v>
      </c>
      <c r="E14">
        <v>50</v>
      </c>
    </row>
    <row r="15" spans="1:10" x14ac:dyDescent="0.25">
      <c r="A15" t="s">
        <v>22</v>
      </c>
      <c r="B15">
        <v>45</v>
      </c>
      <c r="E15">
        <v>45</v>
      </c>
    </row>
    <row r="16" spans="1:10" x14ac:dyDescent="0.25">
      <c r="A16" t="s">
        <v>26</v>
      </c>
      <c r="B16">
        <v>10</v>
      </c>
      <c r="E16">
        <v>14</v>
      </c>
    </row>
    <row r="17" spans="1:7" x14ac:dyDescent="0.25">
      <c r="A17" t="s">
        <v>27</v>
      </c>
      <c r="B17">
        <v>4</v>
      </c>
      <c r="E17">
        <v>6</v>
      </c>
    </row>
    <row r="19" spans="1:7" x14ac:dyDescent="0.25">
      <c r="A19" t="s">
        <v>174</v>
      </c>
      <c r="C19">
        <v>1</v>
      </c>
      <c r="D19">
        <f>sources_distweight!H8</f>
        <v>14.90233829609822</v>
      </c>
      <c r="E19">
        <f>MAX(ROUND((D19/D$30)*(C$30/C19)*E$30,0),1)</f>
        <v>27</v>
      </c>
    </row>
    <row r="20" spans="1:7" x14ac:dyDescent="0.25">
      <c r="A20" t="s">
        <v>58</v>
      </c>
      <c r="C20">
        <v>1</v>
      </c>
    </row>
    <row r="21" spans="1:7" x14ac:dyDescent="0.25">
      <c r="A21" t="s">
        <v>25</v>
      </c>
      <c r="C21">
        <v>1</v>
      </c>
      <c r="D21">
        <f>sources_distweight!H15</f>
        <v>0.29385028798945501</v>
      </c>
      <c r="E21">
        <f>MAX(ROUND((D21/D$30)*(C$30/C21)*E$30,0),1)</f>
        <v>1</v>
      </c>
    </row>
    <row r="22" spans="1:7" x14ac:dyDescent="0.25">
      <c r="A22" t="s">
        <v>31</v>
      </c>
      <c r="C22">
        <v>1</v>
      </c>
      <c r="D22">
        <f>sources_distweight!H12</f>
        <v>4.1600596661821294</v>
      </c>
      <c r="E22">
        <f>MAX(ROUND((D22/D$30)*(C$30/C22)*E$30,0),1)</f>
        <v>8</v>
      </c>
    </row>
    <row r="23" spans="1:7" x14ac:dyDescent="0.25">
      <c r="A23" t="s">
        <v>144</v>
      </c>
      <c r="C23">
        <v>1</v>
      </c>
      <c r="D23">
        <f>sources_distweight!H25</f>
        <v>1.5810912357314428</v>
      </c>
      <c r="E23">
        <f>MAX(ROUND((D23/D$30)*(C$30/C23)*E$30,0),1)</f>
        <v>3</v>
      </c>
    </row>
    <row r="24" spans="1:7" x14ac:dyDescent="0.25">
      <c r="A24" t="s">
        <v>29</v>
      </c>
      <c r="C24">
        <v>4</v>
      </c>
      <c r="D24">
        <f>sources_distweight!H21</f>
        <v>82.687198110902756</v>
      </c>
      <c r="E24">
        <f>MAX(ROUND((D24/D$30)*(C$30/C24)*E$30,0),1)</f>
        <v>38</v>
      </c>
      <c r="G24">
        <v>8.3333300000000001</v>
      </c>
    </row>
    <row r="25" spans="1:7" x14ac:dyDescent="0.25">
      <c r="A25" t="s">
        <v>146</v>
      </c>
      <c r="C25">
        <v>1</v>
      </c>
      <c r="D25">
        <f>sources_distweight!H27</f>
        <v>36.686608891001427</v>
      </c>
      <c r="E25">
        <f>MAX(ROUND((D25/D$30)*(C$30/C25)*E$30,0),1)</f>
        <v>67</v>
      </c>
    </row>
    <row r="26" spans="1:7" x14ac:dyDescent="0.25">
      <c r="A26" t="s">
        <v>156</v>
      </c>
      <c r="C26">
        <v>1</v>
      </c>
      <c r="D26">
        <f>sources_distweight!H26</f>
        <v>5.8367306681692117</v>
      </c>
      <c r="E26">
        <f>MAX(ROUND((D26/D$30)*(C$30/C26)*E$30,0),1)</f>
        <v>11</v>
      </c>
    </row>
    <row r="27" spans="1:7" x14ac:dyDescent="0.25">
      <c r="A27" t="s">
        <v>145</v>
      </c>
      <c r="C27">
        <v>1</v>
      </c>
      <c r="D27">
        <f>sources_distweight!H33</f>
        <v>9.3171730705664011</v>
      </c>
      <c r="E27">
        <f>MAX(ROUND((D27/D$30)*(C$30/C27)*E$30,0),1)</f>
        <v>17</v>
      </c>
    </row>
    <row r="28" spans="1:7" x14ac:dyDescent="0.25">
      <c r="A28" t="s">
        <v>151</v>
      </c>
      <c r="C28">
        <v>4</v>
      </c>
      <c r="D28">
        <f>sources_distweight!H31 *(50/150)</f>
        <v>33.333333333333329</v>
      </c>
      <c r="E28">
        <f>MAX(ROUND((D28/D$30)*(C$30/C28)*E$30,0),1)</f>
        <v>15</v>
      </c>
      <c r="F28">
        <v>23800</v>
      </c>
      <c r="G28">
        <f>(25/12)*4</f>
        <v>8.3333333333333339</v>
      </c>
    </row>
    <row r="29" spans="1:7" x14ac:dyDescent="0.25">
      <c r="A29" t="s">
        <v>30</v>
      </c>
      <c r="C29">
        <v>12</v>
      </c>
      <c r="D29">
        <f>sources_distweight!H31 *(100/150)</f>
        <v>66.666666666666657</v>
      </c>
      <c r="E29">
        <f>MAX(ROUND((D29/D$30)*(C$30/C29)*E$30,0),1)</f>
        <v>10</v>
      </c>
      <c r="F29">
        <v>23800</v>
      </c>
      <c r="G29">
        <v>25</v>
      </c>
    </row>
    <row r="30" spans="1:7" x14ac:dyDescent="0.25">
      <c r="A30" t="s">
        <v>147</v>
      </c>
      <c r="C30">
        <v>1</v>
      </c>
      <c r="D30">
        <f>sources_distweight!H34</f>
        <v>54.857878770717939</v>
      </c>
      <c r="E30">
        <v>100</v>
      </c>
    </row>
    <row r="31" spans="1:7" x14ac:dyDescent="0.25">
      <c r="A31" t="s">
        <v>150</v>
      </c>
      <c r="C31">
        <v>6</v>
      </c>
      <c r="D31">
        <f>sources_distweight!H37</f>
        <v>151.79897460247545</v>
      </c>
      <c r="E31">
        <f>MAX(ROUND((D31/D$30)*(C$30/C31)*E$30,0),1)</f>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899E8-54B1-43FC-8D0D-AB96EFB28203}">
  <dimension ref="A1:Z104"/>
  <sheetViews>
    <sheetView tabSelected="1" topLeftCell="A65" workbookViewId="0">
      <selection activeCell="I61" sqref="I61"/>
    </sheetView>
  </sheetViews>
  <sheetFormatPr defaultRowHeight="15" x14ac:dyDescent="0.25"/>
  <cols>
    <col min="1" max="1" width="21.42578125" customWidth="1"/>
    <col min="2" max="2" width="14.85546875" customWidth="1"/>
    <col min="3" max="3" width="15.5703125" customWidth="1"/>
  </cols>
  <sheetData>
    <row r="1" spans="1:26" x14ac:dyDescent="0.25">
      <c r="A1" s="1" t="s">
        <v>12</v>
      </c>
      <c r="B1" s="1" t="s">
        <v>105</v>
      </c>
      <c r="C1" s="7" t="s">
        <v>106</v>
      </c>
      <c r="K1" s="7" t="s">
        <v>110</v>
      </c>
      <c r="L1" s="1"/>
      <c r="M1" s="1"/>
      <c r="N1" s="1"/>
      <c r="O1" s="1"/>
      <c r="S1" s="7" t="s">
        <v>107</v>
      </c>
    </row>
    <row r="2" spans="1:26" x14ac:dyDescent="0.25">
      <c r="C2" s="8" t="s">
        <v>2</v>
      </c>
      <c r="D2" t="s">
        <v>72</v>
      </c>
      <c r="E2" t="s">
        <v>3</v>
      </c>
      <c r="F2" t="s">
        <v>4</v>
      </c>
      <c r="G2" t="s">
        <v>5</v>
      </c>
      <c r="H2" t="s">
        <v>6</v>
      </c>
      <c r="I2" t="s">
        <v>227</v>
      </c>
      <c r="J2" t="s">
        <v>228</v>
      </c>
      <c r="K2" s="8" t="s">
        <v>2</v>
      </c>
      <c r="L2" t="s">
        <v>72</v>
      </c>
      <c r="M2" t="s">
        <v>3</v>
      </c>
      <c r="N2" t="s">
        <v>4</v>
      </c>
      <c r="O2" t="s">
        <v>5</v>
      </c>
      <c r="P2" t="s">
        <v>6</v>
      </c>
      <c r="Q2" t="s">
        <v>227</v>
      </c>
      <c r="R2" t="s">
        <v>228</v>
      </c>
      <c r="S2" s="8" t="s">
        <v>2</v>
      </c>
      <c r="T2" t="s">
        <v>72</v>
      </c>
      <c r="U2" t="s">
        <v>3</v>
      </c>
      <c r="V2" t="s">
        <v>4</v>
      </c>
      <c r="W2" t="s">
        <v>5</v>
      </c>
      <c r="X2" t="s">
        <v>6</v>
      </c>
      <c r="Y2" t="s">
        <v>227</v>
      </c>
      <c r="Z2" t="s">
        <v>228</v>
      </c>
    </row>
    <row r="3" spans="1:26" x14ac:dyDescent="0.25">
      <c r="A3" t="s">
        <v>16</v>
      </c>
      <c r="B3">
        <f>SUMPRODUCT(S3:X3,G38:L38)/SUM(G38:L38)</f>
        <v>1.6790785790484388</v>
      </c>
      <c r="C3" s="8">
        <f>meat!H2</f>
        <v>48</v>
      </c>
      <c r="E3">
        <f>fish!H2</f>
        <v>15</v>
      </c>
      <c r="G3">
        <f>vegetables!H2</f>
        <v>93</v>
      </c>
      <c r="H3">
        <f>fruit!H2</f>
        <v>48</v>
      </c>
      <c r="K3" s="8">
        <f>meat!I2</f>
        <v>72</v>
      </c>
      <c r="M3">
        <f>fish!I2</f>
        <v>197.66064034529006</v>
      </c>
      <c r="O3">
        <f>vegetables!I2</f>
        <v>40.147228173391809</v>
      </c>
      <c r="P3">
        <f>fruit!I2</f>
        <v>32.724161607199655</v>
      </c>
      <c r="S3" s="8">
        <f>K3/C3</f>
        <v>1.5</v>
      </c>
      <c r="U3">
        <f>M3/E3</f>
        <v>13.177376023019338</v>
      </c>
      <c r="W3">
        <f>O3/G3</f>
        <v>0.43169062552034204</v>
      </c>
      <c r="X3">
        <f>P3/H3</f>
        <v>0.68175336681665943</v>
      </c>
    </row>
    <row r="4" spans="1:26" x14ac:dyDescent="0.25">
      <c r="A4" t="s">
        <v>78</v>
      </c>
      <c r="B4">
        <f>SUMPRODUCT(S4:X4,G39:L39)/SUM(G39:L39)</f>
        <v>0.23247059999999997</v>
      </c>
      <c r="C4" s="8"/>
      <c r="D4">
        <f>milk!H2</f>
        <v>210</v>
      </c>
      <c r="K4" s="8"/>
      <c r="L4">
        <f>milk!I2</f>
        <v>48.818825999999994</v>
      </c>
      <c r="S4" s="8"/>
      <c r="T4" s="8">
        <f>L4/D4</f>
        <v>0.23247059999999997</v>
      </c>
    </row>
    <row r="5" spans="1:26" x14ac:dyDescent="0.25">
      <c r="A5" t="s">
        <v>152</v>
      </c>
      <c r="B5">
        <f>SUMPRODUCT(S5:Z5,G40:N40)/SUM(G40:N40)</f>
        <v>1.2539644851902347</v>
      </c>
      <c r="C5" s="8"/>
      <c r="I5">
        <f>canned!H2</f>
        <v>10.56</v>
      </c>
      <c r="K5" s="8"/>
      <c r="Q5">
        <f>canned!I2</f>
        <v>13.241864963608879</v>
      </c>
      <c r="S5" s="8"/>
      <c r="Y5">
        <f>Q5/I5</f>
        <v>1.2539644851902347</v>
      </c>
    </row>
    <row r="6" spans="1:26" x14ac:dyDescent="0.25">
      <c r="A6" t="s">
        <v>49</v>
      </c>
      <c r="B6">
        <f>SUMPRODUCT(S6:Z6,G41:N41)/SUM(G41:N41)</f>
        <v>4.4903526176632491</v>
      </c>
      <c r="C6" s="8"/>
      <c r="E6">
        <f>fish!H3</f>
        <v>54</v>
      </c>
      <c r="K6" s="8"/>
      <c r="M6">
        <f>fish!I3</f>
        <v>242.47904135381546</v>
      </c>
      <c r="S6" s="8"/>
      <c r="U6" s="8">
        <f>M6/E6</f>
        <v>4.4903526176632491</v>
      </c>
    </row>
    <row r="7" spans="1:26" x14ac:dyDescent="0.25">
      <c r="A7" t="s">
        <v>59</v>
      </c>
      <c r="B7">
        <f>SUMPRODUCT(S7:X7,G42:L42)/SUM(G42:L42)</f>
        <v>0.82047562332820978</v>
      </c>
      <c r="C7" s="8"/>
      <c r="G7">
        <f>vegetables!H3</f>
        <v>27</v>
      </c>
      <c r="H7">
        <f>fruit!H3</f>
        <v>27</v>
      </c>
      <c r="K7" s="8"/>
      <c r="O7">
        <f>vegetables!I3</f>
        <v>23.700316298826298</v>
      </c>
      <c r="P7">
        <f>fruit!I3</f>
        <v>20.605367360897031</v>
      </c>
      <c r="S7" s="8"/>
      <c r="W7">
        <f>O7/G7</f>
        <v>0.8777894925491222</v>
      </c>
      <c r="X7">
        <f>P7/H7</f>
        <v>0.76316175410729747</v>
      </c>
    </row>
    <row r="8" spans="1:26" x14ac:dyDescent="0.25">
      <c r="A8" t="s">
        <v>55</v>
      </c>
      <c r="B8">
        <f>AVERAGE(S8:V8)</f>
        <v>3.3525292663546562</v>
      </c>
      <c r="C8" s="8"/>
      <c r="F8">
        <f>flour!H2</f>
        <v>32</v>
      </c>
      <c r="K8" s="8"/>
      <c r="N8">
        <f>flour!I2</f>
        <v>107.280936523349</v>
      </c>
      <c r="S8" s="8"/>
      <c r="V8">
        <f>N8/F8</f>
        <v>3.3525292663546562</v>
      </c>
    </row>
    <row r="9" spans="1:26" x14ac:dyDescent="0.25">
      <c r="A9" t="s">
        <v>21</v>
      </c>
      <c r="B9">
        <f>AVERAGE(S9:V9)</f>
        <v>0.625</v>
      </c>
      <c r="C9" s="8">
        <f>meat!H3</f>
        <v>24</v>
      </c>
      <c r="K9" s="8">
        <f>meat!I3</f>
        <v>15</v>
      </c>
      <c r="S9" s="8">
        <f>K9/C9</f>
        <v>0.625</v>
      </c>
    </row>
    <row r="10" spans="1:26" x14ac:dyDescent="0.25">
      <c r="A10" t="s">
        <v>22</v>
      </c>
      <c r="B10">
        <f>SUMPRODUCT(S10:X10,G45:L45)/SUM(G45:L45)</f>
        <v>1.0585945486012034</v>
      </c>
      <c r="C10" s="8">
        <f>meat!H4</f>
        <v>57.6</v>
      </c>
      <c r="E10">
        <f>fish!H4</f>
        <v>18</v>
      </c>
      <c r="G10">
        <f>vegetables!H4</f>
        <v>111.6</v>
      </c>
      <c r="H10">
        <f>fruit!H4</f>
        <v>57.6</v>
      </c>
      <c r="K10" s="8">
        <f>meat!I4</f>
        <v>54</v>
      </c>
      <c r="M10">
        <f>fish!I4</f>
        <v>36.436075631365064</v>
      </c>
      <c r="O10">
        <f>vegetables!I4</f>
        <v>126.92716476206782</v>
      </c>
      <c r="P10">
        <f>fruit!I4</f>
        <v>41.780705104141695</v>
      </c>
      <c r="S10" s="8">
        <f>K10/C10</f>
        <v>0.9375</v>
      </c>
      <c r="U10">
        <f>M10/E10</f>
        <v>2.0242264239647256</v>
      </c>
      <c r="W10">
        <f>O10/G10</f>
        <v>1.1373401860400343</v>
      </c>
      <c r="X10">
        <f>P10/H10</f>
        <v>0.72535946361357106</v>
      </c>
    </row>
    <row r="11" spans="1:26" x14ac:dyDescent="0.25">
      <c r="A11" t="s">
        <v>79</v>
      </c>
      <c r="B11">
        <f>SUMPRODUCT(S11:Z11,G47:N47)/SUM(G47:N47)</f>
        <v>0.42232160681818143</v>
      </c>
      <c r="C11" s="8"/>
      <c r="D11">
        <f>milk!H3</f>
        <v>210</v>
      </c>
      <c r="K11" s="8"/>
      <c r="L11">
        <f>milk!I3</f>
        <v>88.6875374318181</v>
      </c>
      <c r="S11" s="8"/>
      <c r="T11" s="8">
        <f>L11/D11</f>
        <v>0.42232160681818143</v>
      </c>
    </row>
    <row r="12" spans="1:26" x14ac:dyDescent="0.25">
      <c r="A12" t="s">
        <v>153</v>
      </c>
      <c r="B12">
        <f>SUMPRODUCT(S12:Z12,G46:N46)/SUM(G46:N46)</f>
        <v>1.0031715881521865</v>
      </c>
      <c r="C12" s="8"/>
      <c r="I12">
        <f>canned!H3</f>
        <v>36.96</v>
      </c>
      <c r="K12" s="8"/>
      <c r="Q12">
        <f>canned!I3</f>
        <v>37.077221898104817</v>
      </c>
      <c r="S12" s="8"/>
      <c r="Y12">
        <f>Q12/I12</f>
        <v>1.0031715881521865</v>
      </c>
    </row>
    <row r="13" spans="1:26" x14ac:dyDescent="0.25">
      <c r="A13" t="s">
        <v>50</v>
      </c>
      <c r="B13">
        <f>SUMPRODUCT(S13:Z13,G48:N48)/SUM(G48:N48)</f>
        <v>2.0242264239647256</v>
      </c>
      <c r="C13" s="8"/>
      <c r="E13">
        <f>fish!H5</f>
        <v>135</v>
      </c>
      <c r="K13" s="8"/>
      <c r="M13">
        <f>fish!I5</f>
        <v>273.27056723523793</v>
      </c>
      <c r="S13" s="8"/>
      <c r="U13" s="8">
        <f>M13/E13</f>
        <v>2.0242264239647256</v>
      </c>
    </row>
    <row r="14" spans="1:26" x14ac:dyDescent="0.25">
      <c r="A14" t="s">
        <v>116</v>
      </c>
      <c r="B14">
        <f>SUMPRODUCT(S14:X14,G49:L49)/SUM(G49:L49)</f>
        <v>0.90192263036776954</v>
      </c>
      <c r="C14" s="8"/>
      <c r="G14">
        <f>vegetables!H5</f>
        <v>54</v>
      </c>
      <c r="H14">
        <f>fruit!H5</f>
        <v>72</v>
      </c>
      <c r="K14" s="8"/>
      <c r="O14">
        <f>vegetables!I5</f>
        <v>61.416370046161852</v>
      </c>
      <c r="P14">
        <f>fruit!I5</f>
        <v>52.225881380177114</v>
      </c>
      <c r="S14" s="8"/>
      <c r="W14">
        <f>O14/G14</f>
        <v>1.1373401860400343</v>
      </c>
      <c r="X14">
        <f>P14/H14</f>
        <v>0.72535946361357106</v>
      </c>
    </row>
    <row r="15" spans="1:26" x14ac:dyDescent="0.25">
      <c r="A15" t="s">
        <v>56</v>
      </c>
      <c r="B15">
        <f>AVERAGE(S15:V15)</f>
        <v>1.508638169859595</v>
      </c>
      <c r="C15" s="8"/>
      <c r="F15">
        <f>flour!H3</f>
        <v>60</v>
      </c>
      <c r="K15" s="8"/>
      <c r="N15">
        <f>flour!I3</f>
        <v>90.518290191575701</v>
      </c>
      <c r="S15" s="8"/>
      <c r="V15">
        <f>N15/F15</f>
        <v>1.508638169859595</v>
      </c>
    </row>
    <row r="16" spans="1:26" x14ac:dyDescent="0.25">
      <c r="A16" t="s">
        <v>23</v>
      </c>
      <c r="B16">
        <f>AVERAGE(S16:V16)</f>
        <v>0.93333333333333335</v>
      </c>
      <c r="C16" s="8">
        <f>meat!H5</f>
        <v>60</v>
      </c>
      <c r="K16" s="8">
        <f>meat!I5</f>
        <v>56</v>
      </c>
      <c r="S16" s="8">
        <f>K16/C16</f>
        <v>0.93333333333333335</v>
      </c>
    </row>
    <row r="17" spans="1:25" x14ac:dyDescent="0.25">
      <c r="A17" t="s">
        <v>26</v>
      </c>
      <c r="B17">
        <f>SUMPRODUCT(S17:X17,G52:L52)/SUM(G52:L52)</f>
        <v>1.8132189177282256</v>
      </c>
      <c r="C17" s="8">
        <f>meat!H6</f>
        <v>12.8</v>
      </c>
      <c r="E17">
        <f>fish!H6</f>
        <v>4</v>
      </c>
      <c r="G17">
        <f>vegetables!H6</f>
        <v>24.8</v>
      </c>
      <c r="H17">
        <f>fruit!H6</f>
        <v>12.8</v>
      </c>
      <c r="K17" s="8">
        <f>meat!I6</f>
        <v>16.873956940808974</v>
      </c>
      <c r="M17">
        <f>fish!I6</f>
        <v>7.2688937940497906</v>
      </c>
      <c r="O17">
        <f>vegetables!I6</f>
        <v>62.016282648565443</v>
      </c>
      <c r="P17">
        <f>fruit!I6</f>
        <v>12.479975740991273</v>
      </c>
      <c r="S17" s="8">
        <f>K17/C17</f>
        <v>1.3182778860007009</v>
      </c>
      <c r="U17">
        <f>M17/E17</f>
        <v>1.8172234485124477</v>
      </c>
      <c r="W17">
        <f>O17/G17</f>
        <v>2.5006565584098968</v>
      </c>
      <c r="X17">
        <f>P17/H17</f>
        <v>0.9749981047649432</v>
      </c>
    </row>
    <row r="18" spans="1:25" x14ac:dyDescent="0.25">
      <c r="A18" t="s">
        <v>80</v>
      </c>
      <c r="B18">
        <f>SUMPRODUCT(S18:Z18,G54:N54)/SUM(G54:N54)</f>
        <v>0.69348567054545474</v>
      </c>
      <c r="C18" s="8"/>
      <c r="D18">
        <f>milk!H4</f>
        <v>225</v>
      </c>
      <c r="K18" s="8"/>
      <c r="L18">
        <f>milk!I4</f>
        <v>156.03427587272731</v>
      </c>
      <c r="S18" s="8"/>
      <c r="T18" s="8">
        <f>L18/D18</f>
        <v>0.69348567054545474</v>
      </c>
    </row>
    <row r="19" spans="1:25" x14ac:dyDescent="0.25">
      <c r="A19" t="s">
        <v>154</v>
      </c>
      <c r="B19">
        <f>SUMPRODUCT(S19:Z19,G53:N53)/SUM(G53:N53)</f>
        <v>0.50381506427198719</v>
      </c>
      <c r="C19" s="8"/>
      <c r="I19">
        <f>canned!H4</f>
        <v>118.8</v>
      </c>
      <c r="K19" s="8"/>
      <c r="Q19">
        <f>canned!I4</f>
        <v>59.853229635512079</v>
      </c>
      <c r="S19" s="8"/>
      <c r="Y19">
        <f>Q19/I19</f>
        <v>0.50381506427198719</v>
      </c>
    </row>
    <row r="20" spans="1:25" x14ac:dyDescent="0.25">
      <c r="A20" t="s">
        <v>51</v>
      </c>
      <c r="B20">
        <f>SUMPRODUCT(S20:Z20,G55:N55)/SUM(G55:N55)</f>
        <v>1.8172234485124477</v>
      </c>
      <c r="C20" s="8"/>
      <c r="E20">
        <f>fish!H7</f>
        <v>210</v>
      </c>
      <c r="K20" s="8"/>
      <c r="M20">
        <f>fish!I7</f>
        <v>381.61692418761402</v>
      </c>
      <c r="S20" s="8"/>
      <c r="U20" s="8">
        <f>M20/E20</f>
        <v>1.8172234485124477</v>
      </c>
    </row>
    <row r="21" spans="1:25" x14ac:dyDescent="0.25">
      <c r="A21" t="s">
        <v>61</v>
      </c>
      <c r="B21">
        <f>SUMPRODUCT(S21:Z21,G56:N56)/SUM(G56:N56)</f>
        <v>1.5870886220955533</v>
      </c>
      <c r="C21" s="8"/>
      <c r="G21">
        <f>vegetables!H7</f>
        <v>80.400000000000006</v>
      </c>
      <c r="H21">
        <f>fruit!H7</f>
        <v>120</v>
      </c>
      <c r="K21" s="8"/>
      <c r="O21">
        <f>vegetables!I7</f>
        <v>201.05278729615571</v>
      </c>
      <c r="P21">
        <f>fruit!I7</f>
        <v>116.99977257179319</v>
      </c>
      <c r="S21" s="8"/>
      <c r="W21">
        <f>O21/G21</f>
        <v>2.5006565584098968</v>
      </c>
      <c r="X21">
        <f>P21/H21</f>
        <v>0.9749981047649432</v>
      </c>
    </row>
    <row r="22" spans="1:25" x14ac:dyDescent="0.25">
      <c r="A22" t="s">
        <v>57</v>
      </c>
      <c r="B22">
        <f>SUMPRODUCT(S22:Z22,G57:N57)/SUM(G57:N57)</f>
        <v>0.65481735652773088</v>
      </c>
      <c r="C22" s="8"/>
      <c r="F22">
        <f>flour!H4</f>
        <v>81</v>
      </c>
      <c r="K22" s="8"/>
      <c r="N22">
        <f>flour!I4</f>
        <v>53.040205878746193</v>
      </c>
      <c r="S22" s="8"/>
      <c r="V22">
        <f>N22/F22</f>
        <v>0.65481735652773077</v>
      </c>
    </row>
    <row r="23" spans="1:25" x14ac:dyDescent="0.25">
      <c r="A23" t="s">
        <v>24</v>
      </c>
      <c r="B23">
        <f>SUMPRODUCT(S23:Z23,G58:N58)/SUM(G58:N58)</f>
        <v>1.3182778860007012</v>
      </c>
      <c r="C23" s="8">
        <f>meat!H7</f>
        <v>81</v>
      </c>
      <c r="K23" s="8">
        <f>meat!I7</f>
        <v>106.78050876605678</v>
      </c>
      <c r="S23" s="8">
        <f>K23/C23</f>
        <v>1.3182778860007009</v>
      </c>
    </row>
    <row r="24" spans="1:25" x14ac:dyDescent="0.25">
      <c r="A24" t="s">
        <v>27</v>
      </c>
      <c r="B24">
        <f>SUMPRODUCT(S24:Z24,G59:N59)/SUM(G59:N59)</f>
        <v>1.8680266506940957</v>
      </c>
      <c r="C24" s="8">
        <f>meat!H8</f>
        <v>7.68</v>
      </c>
      <c r="E24">
        <f>fish!H8</f>
        <v>2.4</v>
      </c>
      <c r="G24">
        <f>vegetables!H8</f>
        <v>14.88</v>
      </c>
      <c r="H24">
        <f>fruit!H8</f>
        <v>7.68</v>
      </c>
      <c r="K24" s="8">
        <f>meat!I8</f>
        <v>13.498277739832433</v>
      </c>
      <c r="M24">
        <f>fish!I8</f>
        <v>2.8810030043836643</v>
      </c>
      <c r="O24">
        <f>vegetables!I8</f>
        <v>37.439898030229564</v>
      </c>
      <c r="P24">
        <f>fruit!I8</f>
        <v>7.15321110420963</v>
      </c>
      <c r="S24" s="8">
        <f>K24/C24</f>
        <v>1.7575882473740148</v>
      </c>
      <c r="U24">
        <f>M24/E24</f>
        <v>1.2004179184931936</v>
      </c>
      <c r="W24">
        <f>O24/G24</f>
        <v>2.5161221794509112</v>
      </c>
      <c r="X24">
        <f>P24/H24</f>
        <v>0.93140769586062899</v>
      </c>
    </row>
    <row r="25" spans="1:25" x14ac:dyDescent="0.25">
      <c r="A25" t="s">
        <v>155</v>
      </c>
      <c r="B25">
        <f>SUMPRODUCT(S25:Z25,G60:N60)/SUM(G60:N60)</f>
        <v>1.0459608975994359</v>
      </c>
      <c r="C25" s="8"/>
      <c r="I25">
        <f>canned!H5</f>
        <v>63.36</v>
      </c>
      <c r="K25" s="8"/>
      <c r="Q25">
        <f>canned!I5</f>
        <v>66.272082471900262</v>
      </c>
      <c r="S25" s="8"/>
      <c r="Y25">
        <f>Q25/I25</f>
        <v>1.0459608975994359</v>
      </c>
    </row>
    <row r="26" spans="1:25" x14ac:dyDescent="0.25">
      <c r="A26" t="s">
        <v>52</v>
      </c>
      <c r="B26">
        <f>SUMPRODUCT(S26:Z26,G61:N61)/SUM(G61:N61)</f>
        <v>0.9569443712992397</v>
      </c>
      <c r="C26" s="8"/>
      <c r="E26">
        <f>fish!H9</f>
        <v>180</v>
      </c>
      <c r="K26" s="8"/>
      <c r="M26">
        <f>fish!I9</f>
        <v>172.24998683386315</v>
      </c>
      <c r="S26" s="8"/>
      <c r="U26" s="8">
        <f>M26/E26</f>
        <v>0.9569443712992397</v>
      </c>
    </row>
    <row r="27" spans="1:25" x14ac:dyDescent="0.25">
      <c r="A27" t="s">
        <v>62</v>
      </c>
      <c r="B27">
        <f>SUMPRODUCT(S27:X27,G62:L62)/SUM(G62:L62)</f>
        <v>0.64380485067207127</v>
      </c>
      <c r="C27" s="8"/>
      <c r="G27">
        <f>vegetables!H9</f>
        <v>60.3</v>
      </c>
      <c r="H27">
        <f>fruit!H9</f>
        <v>90</v>
      </c>
      <c r="K27" s="8"/>
      <c r="O27">
        <f>vegetables!I9</f>
        <v>53.703468087267922</v>
      </c>
      <c r="P27">
        <f>fruit!I9</f>
        <v>43.060400968744382</v>
      </c>
      <c r="S27" s="8"/>
      <c r="W27">
        <f>O27/G27</f>
        <v>0.89060477756663226</v>
      </c>
      <c r="X27">
        <f>P27/H27</f>
        <v>0.47844889965271536</v>
      </c>
    </row>
    <row r="28" spans="1:25" x14ac:dyDescent="0.25">
      <c r="A28" t="s">
        <v>58</v>
      </c>
      <c r="B28">
        <f>AVERAGE(S28:V28)</f>
        <v>0.502386878140056</v>
      </c>
      <c r="C28" s="8"/>
      <c r="F28">
        <f>flour!H5</f>
        <v>96</v>
      </c>
      <c r="K28" s="8"/>
      <c r="N28">
        <f>flour!I5</f>
        <v>48.229140301445376</v>
      </c>
      <c r="S28" s="8"/>
      <c r="V28">
        <f>N28/F28</f>
        <v>0.502386878140056</v>
      </c>
    </row>
    <row r="29" spans="1:25" x14ac:dyDescent="0.25">
      <c r="A29" t="s">
        <v>25</v>
      </c>
      <c r="B29">
        <f>AVERAGE(S29:V29)</f>
        <v>1.7575882473740148</v>
      </c>
      <c r="C29" s="8">
        <f>meat!H9</f>
        <v>48</v>
      </c>
      <c r="K29" s="8">
        <f>meat!I9</f>
        <v>84.364235873952708</v>
      </c>
      <c r="S29" s="8">
        <f>K29/C29</f>
        <v>1.7575882473740148</v>
      </c>
    </row>
    <row r="30" spans="1:25" x14ac:dyDescent="0.25">
      <c r="A30" t="s">
        <v>31</v>
      </c>
      <c r="B30">
        <f>SUMPRODUCT(S30:Z30,G65:N65)/SUM(G65:N65)</f>
        <v>1.0265978033627234</v>
      </c>
      <c r="C30" s="8">
        <f>meat!H10</f>
        <v>10.08</v>
      </c>
      <c r="D30">
        <f>milk!H5</f>
        <v>7.84</v>
      </c>
      <c r="E30">
        <f>fish!H10</f>
        <v>3.15</v>
      </c>
      <c r="F30">
        <f>flour!H6</f>
        <v>5.04</v>
      </c>
      <c r="G30">
        <f>vegetables!H10</f>
        <v>19.53</v>
      </c>
      <c r="H30">
        <f>fruit!H10</f>
        <v>10.08</v>
      </c>
      <c r="I30">
        <f>canned!H6</f>
        <v>12.6</v>
      </c>
      <c r="K30" s="8">
        <f>meat!I10</f>
        <v>7.4279381204819153</v>
      </c>
      <c r="L30">
        <f>milk!I5</f>
        <v>20.692731192578865</v>
      </c>
      <c r="M30">
        <f>fish!I10</f>
        <v>3.2657654825778981</v>
      </c>
      <c r="N30">
        <f>flour!I6</f>
        <v>1.7748180541970984</v>
      </c>
      <c r="O30">
        <f>vegetables!I10</f>
        <v>17.393511305876331</v>
      </c>
      <c r="P30">
        <f>fruit!I10</f>
        <v>4.8227649084993711</v>
      </c>
      <c r="Q30">
        <f>canned!I6</f>
        <v>13.179107309752892</v>
      </c>
      <c r="S30" s="8">
        <f>K30/C30</f>
        <v>0.73689862306368203</v>
      </c>
      <c r="T30" s="8">
        <f>L30/D30</f>
        <v>2.6393789786452633</v>
      </c>
      <c r="U30" s="8">
        <f>M30/E30</f>
        <v>1.0367509468501264</v>
      </c>
      <c r="V30">
        <f>N30/F30</f>
        <v>0.35214643932482109</v>
      </c>
      <c r="W30">
        <f>O30/G30</f>
        <v>0.89060477756663237</v>
      </c>
      <c r="X30">
        <f>P30/H30</f>
        <v>0.47844889965271536</v>
      </c>
      <c r="Y30">
        <f>Q30/I30</f>
        <v>1.0459608975994359</v>
      </c>
    </row>
    <row r="31" spans="1:25" x14ac:dyDescent="0.25">
      <c r="A31" t="s">
        <v>29</v>
      </c>
      <c r="B31">
        <f>SUMPRODUCT(S31:Z31,G66:N66)/SUM(G66:N66)</f>
        <v>1.238815254062577</v>
      </c>
      <c r="C31" s="8">
        <f>meat!H11</f>
        <v>85.12</v>
      </c>
      <c r="D31">
        <f>milk!H6</f>
        <v>74.48</v>
      </c>
      <c r="E31">
        <f>fish!H11</f>
        <v>26.6</v>
      </c>
      <c r="F31">
        <f>flour!H7</f>
        <v>42.56</v>
      </c>
      <c r="G31">
        <f>vegetables!H11</f>
        <v>164.92</v>
      </c>
      <c r="H31">
        <f>fruit!H11</f>
        <v>85.12</v>
      </c>
      <c r="I31">
        <f>canned!H7</f>
        <v>106.4</v>
      </c>
      <c r="K31" s="8">
        <f>meat!I11</f>
        <v>97.863608655259725</v>
      </c>
      <c r="L31">
        <f>milk!I6</f>
        <v>217.80308820767104</v>
      </c>
      <c r="M31">
        <f>fish!I11</f>
        <v>25.268282468352005</v>
      </c>
      <c r="N31">
        <f>flour!I7</f>
        <v>45.093036064220961</v>
      </c>
      <c r="O31">
        <f>vegetables!I11</f>
        <v>197.87686073940029</v>
      </c>
      <c r="P31">
        <f>fruit!I11</f>
        <v>79.765013229421356</v>
      </c>
      <c r="Q31">
        <f>canned!I7</f>
        <v>61.284797313094742</v>
      </c>
      <c r="S31" s="8">
        <f>K31/C31</f>
        <v>1.149713447547694</v>
      </c>
      <c r="T31" s="8">
        <f>L31/D31</f>
        <v>2.924316436730277</v>
      </c>
      <c r="U31" s="8">
        <f>M31/E31</f>
        <v>0.94993543114105283</v>
      </c>
      <c r="V31">
        <f>N31/F31</f>
        <v>1.0595168248172218</v>
      </c>
      <c r="W31">
        <f>O31/G31</f>
        <v>1.1998354398459878</v>
      </c>
      <c r="X31">
        <f>P31/H31</f>
        <v>0.93708897121030721</v>
      </c>
      <c r="Y31">
        <f>Q31/I31</f>
        <v>0.57598493715314603</v>
      </c>
    </row>
    <row r="32" spans="1:25" x14ac:dyDescent="0.25">
      <c r="A32" t="s">
        <v>156</v>
      </c>
      <c r="B32">
        <f>SUMPRODUCT(S32:Z32,G67:N67)/SUM(G67:N67)</f>
        <v>0.94852260882128114</v>
      </c>
      <c r="D32">
        <f>milk!H7</f>
        <v>2.88</v>
      </c>
      <c r="I32">
        <f>canned!H8</f>
        <v>22.88</v>
      </c>
      <c r="L32">
        <f>milk!I7</f>
        <v>3.0898640683461114</v>
      </c>
      <c r="Q32">
        <f>canned!I8</f>
        <v>19.732543037656392</v>
      </c>
      <c r="T32">
        <f>L32/D32</f>
        <v>1.0728694681757331</v>
      </c>
      <c r="Y32">
        <f>Q32/I32</f>
        <v>0.86243632157589123</v>
      </c>
    </row>
    <row r="33" spans="1:25" x14ac:dyDescent="0.25">
      <c r="A33" t="s">
        <v>151</v>
      </c>
      <c r="B33">
        <f>SUMPRODUCT(S33:Z33,G68:N68)/SUM(G68:N68)</f>
        <v>1</v>
      </c>
      <c r="C33">
        <f>meat!H12</f>
        <v>33.6</v>
      </c>
      <c r="D33">
        <f>milk!H8</f>
        <v>58.8</v>
      </c>
      <c r="E33">
        <f>fish!H12</f>
        <v>10.5</v>
      </c>
      <c r="F33">
        <f>flour!H8</f>
        <v>16.8</v>
      </c>
      <c r="G33">
        <f>vegetables!H12</f>
        <v>65.099999999999994</v>
      </c>
      <c r="H33">
        <f>fruit!H12</f>
        <v>33.6</v>
      </c>
      <c r="I33">
        <f>canned!H11</f>
        <v>42</v>
      </c>
      <c r="K33" s="8">
        <f>meat!I12</f>
        <v>33.6</v>
      </c>
      <c r="L33">
        <f>milk!I8</f>
        <v>58.8</v>
      </c>
      <c r="M33">
        <f>fish!I12</f>
        <v>10.5</v>
      </c>
      <c r="N33">
        <f>flour!I8</f>
        <v>16.8</v>
      </c>
      <c r="O33">
        <f>vegetables!I12</f>
        <v>65.099999999999994</v>
      </c>
      <c r="P33">
        <f>fruit!I12</f>
        <v>33.6</v>
      </c>
      <c r="Q33">
        <f>canned!I11</f>
        <v>42</v>
      </c>
      <c r="S33" s="8">
        <f>K33/C33</f>
        <v>1</v>
      </c>
      <c r="T33" s="8">
        <f>L33/D33</f>
        <v>1</v>
      </c>
      <c r="U33" s="8">
        <f>M33/E33</f>
        <v>1</v>
      </c>
      <c r="V33">
        <f>N33/F33</f>
        <v>1</v>
      </c>
      <c r="W33">
        <f>O33/G33</f>
        <v>1</v>
      </c>
      <c r="X33">
        <f>P33/H33</f>
        <v>1</v>
      </c>
      <c r="Y33">
        <f>Q33/I33</f>
        <v>1</v>
      </c>
    </row>
    <row r="34" spans="1:25" x14ac:dyDescent="0.25">
      <c r="A34" t="s">
        <v>30</v>
      </c>
      <c r="B34">
        <f>SUMPRODUCT(S34:Z34,G69:N69)/SUM(G69:N69)</f>
        <v>1.0009424555850837</v>
      </c>
      <c r="C34" s="8">
        <f>meat!H13</f>
        <v>67.2</v>
      </c>
      <c r="D34">
        <f>milk!H9</f>
        <v>117.6</v>
      </c>
      <c r="E34">
        <f>fish!H13</f>
        <v>21</v>
      </c>
      <c r="F34">
        <f>flour!H9</f>
        <v>33.6</v>
      </c>
      <c r="G34">
        <f>vegetables!H13</f>
        <v>130.19999999999999</v>
      </c>
      <c r="H34">
        <f>fruit!H13</f>
        <v>67.2</v>
      </c>
      <c r="I34">
        <f>canned!H10</f>
        <v>84</v>
      </c>
      <c r="K34" s="8">
        <f>meat!I13</f>
        <v>67.661478411015523</v>
      </c>
      <c r="L34">
        <f>milk!I9</f>
        <v>120.25733970909073</v>
      </c>
      <c r="M34">
        <f>fish!I13</f>
        <v>20.902686748111041</v>
      </c>
      <c r="N34">
        <f>flour!I9</f>
        <v>33.60176004593599</v>
      </c>
      <c r="O34">
        <f>vegetables!I13</f>
        <v>131.58718116691168</v>
      </c>
      <c r="P34">
        <f>fruit!I13</f>
        <v>66.581913069825177</v>
      </c>
      <c r="Q34">
        <f>canned!I10</f>
        <v>80.698471717821477</v>
      </c>
      <c r="S34" s="8">
        <f>K34/C34</f>
        <v>1.0068672382591595</v>
      </c>
      <c r="T34" s="8">
        <f>L34/D34</f>
        <v>1.0225964260977103</v>
      </c>
      <c r="U34" s="8">
        <f>M34/E34</f>
        <v>0.99536603562433523</v>
      </c>
      <c r="V34">
        <f>N34/F34</f>
        <v>1.0000523823195235</v>
      </c>
      <c r="W34">
        <f>O34/G34</f>
        <v>1.0106542332328086</v>
      </c>
      <c r="X34">
        <f>P34/H34</f>
        <v>0.99080227782477936</v>
      </c>
      <c r="Y34">
        <f>Q34/I34</f>
        <v>0.9606960918788271</v>
      </c>
    </row>
    <row r="36" spans="1:25" x14ac:dyDescent="0.25">
      <c r="A36" s="1" t="s">
        <v>12</v>
      </c>
      <c r="B36" s="1" t="s">
        <v>113</v>
      </c>
      <c r="C36" s="1" t="s">
        <v>118</v>
      </c>
      <c r="D36" s="1" t="s">
        <v>111</v>
      </c>
      <c r="E36" s="1" t="s">
        <v>112</v>
      </c>
      <c r="G36" s="7" t="s">
        <v>19</v>
      </c>
      <c r="O36" s="7" t="s">
        <v>114</v>
      </c>
    </row>
    <row r="37" spans="1:25" x14ac:dyDescent="0.25">
      <c r="G37" s="8" t="s">
        <v>2</v>
      </c>
      <c r="H37" t="s">
        <v>72</v>
      </c>
      <c r="I37" t="s">
        <v>3</v>
      </c>
      <c r="J37" t="s">
        <v>4</v>
      </c>
      <c r="K37" t="s">
        <v>5</v>
      </c>
      <c r="L37" t="s">
        <v>6</v>
      </c>
      <c r="M37" t="s">
        <v>227</v>
      </c>
      <c r="N37" t="s">
        <v>228</v>
      </c>
      <c r="O37" s="8" t="s">
        <v>2</v>
      </c>
      <c r="P37" t="s">
        <v>72</v>
      </c>
      <c r="Q37" t="s">
        <v>3</v>
      </c>
      <c r="R37" t="s">
        <v>4</v>
      </c>
      <c r="S37" t="s">
        <v>5</v>
      </c>
      <c r="T37" t="s">
        <v>6</v>
      </c>
      <c r="U37" t="s">
        <v>227</v>
      </c>
      <c r="V37" t="s">
        <v>228</v>
      </c>
    </row>
    <row r="38" spans="1:25" x14ac:dyDescent="0.25">
      <c r="A38" t="s">
        <v>16</v>
      </c>
      <c r="B38">
        <v>75</v>
      </c>
      <c r="C38">
        <f>dist_calculations!E14</f>
        <v>50</v>
      </c>
      <c r="D38">
        <v>4</v>
      </c>
      <c r="E38">
        <f>ROUND((D38*B3)/(C38/B38),0)</f>
        <v>10</v>
      </c>
      <c r="G38" s="8">
        <v>16</v>
      </c>
      <c r="I38">
        <v>5</v>
      </c>
      <c r="K38">
        <v>31</v>
      </c>
      <c r="L38">
        <v>16</v>
      </c>
      <c r="O38" s="8">
        <f>ROUND((S3/($E38/$D38))*G38,0)</f>
        <v>10</v>
      </c>
      <c r="Q38">
        <f>ROUND((U3/($E38/$D38))*I38,0)</f>
        <v>26</v>
      </c>
      <c r="S38">
        <f>ROUND((W3/($E38/$D38))*K38,0)</f>
        <v>5</v>
      </c>
      <c r="T38">
        <f>ROUND((X3/($E38/$D38))*L38,0)</f>
        <v>4</v>
      </c>
    </row>
    <row r="39" spans="1:25" x14ac:dyDescent="0.25">
      <c r="A39" t="s">
        <v>78</v>
      </c>
      <c r="B39">
        <v>42</v>
      </c>
      <c r="C39">
        <v>8</v>
      </c>
      <c r="D39">
        <v>5</v>
      </c>
      <c r="E39">
        <f>ROUND((D39*B4)/(C39/B39),0)</f>
        <v>6</v>
      </c>
      <c r="H39">
        <v>100</v>
      </c>
      <c r="P39">
        <f>ROUND((T4/(($E39/$D39)*($C39/$B39)))*H39,0)</f>
        <v>102</v>
      </c>
    </row>
    <row r="40" spans="1:25" x14ac:dyDescent="0.25">
      <c r="A40" t="s">
        <v>152</v>
      </c>
      <c r="B40">
        <v>8</v>
      </c>
      <c r="C40">
        <f>dist_calculations!E10</f>
        <v>8</v>
      </c>
      <c r="D40">
        <v>4</v>
      </c>
      <c r="E40">
        <f>ROUND((D40*B5)/(C40/B40),0)</f>
        <v>5</v>
      </c>
      <c r="M40">
        <v>33</v>
      </c>
      <c r="U40">
        <f>ROUND((Y5/(($E40/$D40)*($C40/$B40)))*M40,0)</f>
        <v>33</v>
      </c>
    </row>
    <row r="41" spans="1:25" x14ac:dyDescent="0.25">
      <c r="A41" t="s">
        <v>49</v>
      </c>
      <c r="B41">
        <v>27</v>
      </c>
      <c r="C41">
        <f>dist_calculations!E6</f>
        <v>54</v>
      </c>
      <c r="D41">
        <v>2</v>
      </c>
      <c r="E41">
        <f>ROUND((D41*B6)/(C41/B41),0)</f>
        <v>4</v>
      </c>
      <c r="I41">
        <v>100</v>
      </c>
      <c r="Q41">
        <f>ROUND((U6/(($E41/$D41)*($C41/$B41)))*I41,0)</f>
        <v>112</v>
      </c>
    </row>
    <row r="42" spans="1:25" x14ac:dyDescent="0.25">
      <c r="A42" t="s">
        <v>59</v>
      </c>
      <c r="B42">
        <v>27</v>
      </c>
      <c r="C42">
        <f>dist_calculations!E2</f>
        <v>8</v>
      </c>
      <c r="D42">
        <v>1</v>
      </c>
      <c r="E42">
        <f>ROUND((D42*B7)/(C42/B42),0)</f>
        <v>3</v>
      </c>
      <c r="G42" s="8"/>
      <c r="K42">
        <v>100</v>
      </c>
      <c r="L42">
        <v>100</v>
      </c>
      <c r="O42" s="8"/>
      <c r="S42">
        <f>ROUND((W7/(($E42/$D42)*($C42/$B42)))*K42,0)</f>
        <v>99</v>
      </c>
      <c r="T42">
        <f>ROUND((X7/(($E42/$D42)*($C42/$B42)))*L42,0)</f>
        <v>86</v>
      </c>
    </row>
    <row r="43" spans="1:25" x14ac:dyDescent="0.25">
      <c r="A43" t="s">
        <v>55</v>
      </c>
      <c r="B43">
        <v>32</v>
      </c>
      <c r="C43">
        <v>30</v>
      </c>
      <c r="D43">
        <v>1</v>
      </c>
      <c r="E43">
        <f>ROUND((D43*B8)/(C43/B43),0)</f>
        <v>4</v>
      </c>
      <c r="G43" s="8"/>
      <c r="J43">
        <v>100</v>
      </c>
      <c r="O43" s="8"/>
      <c r="R43">
        <f>ROUND((V8/(($E43/$D43)*($C43/$B43)))*J43,0)</f>
        <v>89</v>
      </c>
    </row>
    <row r="44" spans="1:25" x14ac:dyDescent="0.25">
      <c r="A44" t="s">
        <v>21</v>
      </c>
      <c r="B44">
        <v>24</v>
      </c>
      <c r="D44">
        <v>1</v>
      </c>
      <c r="E44">
        <f>ROUND(D44*B9,0)</f>
        <v>1</v>
      </c>
      <c r="G44" s="8">
        <v>100</v>
      </c>
      <c r="O44" s="8">
        <f>ROUND((S9/($E44/$D44))*G44,0)</f>
        <v>63</v>
      </c>
    </row>
    <row r="45" spans="1:25" x14ac:dyDescent="0.25">
      <c r="A45" t="s">
        <v>22</v>
      </c>
      <c r="B45">
        <v>45</v>
      </c>
      <c r="C45">
        <f>dist_calculations!E15</f>
        <v>45</v>
      </c>
      <c r="D45">
        <v>8</v>
      </c>
      <c r="E45">
        <f>ROUND((D45*B10)/(C45/B45),0)</f>
        <v>8</v>
      </c>
      <c r="G45" s="8">
        <v>16</v>
      </c>
      <c r="I45">
        <v>5</v>
      </c>
      <c r="K45">
        <v>31</v>
      </c>
      <c r="L45">
        <v>16</v>
      </c>
      <c r="O45" s="8">
        <f>ROUND((S10/($E45/$D45))*G45,0)</f>
        <v>15</v>
      </c>
      <c r="Q45">
        <f>ROUND((U10/($E45/$D45))*I45,0)</f>
        <v>10</v>
      </c>
      <c r="S45">
        <f>ROUND((W10/($E45/$D45))*K45,0)</f>
        <v>35</v>
      </c>
      <c r="T45">
        <f>ROUND((X10/($E45/$D45))*L45,0)</f>
        <v>12</v>
      </c>
    </row>
    <row r="46" spans="1:25" x14ac:dyDescent="0.25">
      <c r="A46" t="s">
        <v>153</v>
      </c>
      <c r="B46">
        <v>28</v>
      </c>
      <c r="C46">
        <f>dist_calculations!E11</f>
        <v>16</v>
      </c>
      <c r="D46">
        <v>4</v>
      </c>
      <c r="E46">
        <f>ROUND((D46*B12)/(C46/B46),0)</f>
        <v>7</v>
      </c>
      <c r="M46">
        <v>33</v>
      </c>
      <c r="U46">
        <f>ROUND((Y12/(($E46/$D46)*($C46/$B46)))*M46,0)</f>
        <v>33</v>
      </c>
    </row>
    <row r="47" spans="1:25" x14ac:dyDescent="0.25">
      <c r="A47" t="s">
        <v>79</v>
      </c>
      <c r="B47">
        <v>21</v>
      </c>
      <c r="C47">
        <v>12</v>
      </c>
      <c r="D47">
        <v>10</v>
      </c>
      <c r="E47">
        <f>ROUND((D47*B11)/(C47/B47),0)</f>
        <v>7</v>
      </c>
      <c r="H47">
        <v>100</v>
      </c>
      <c r="P47">
        <f>ROUND((T11/(($E47/$D47)*($C47/$B47)))*H47,0)</f>
        <v>106</v>
      </c>
    </row>
    <row r="48" spans="1:25" x14ac:dyDescent="0.25">
      <c r="A48" t="s">
        <v>50</v>
      </c>
      <c r="B48">
        <v>27</v>
      </c>
      <c r="C48">
        <f>dist_calculations!E7</f>
        <v>54</v>
      </c>
      <c r="D48">
        <v>5</v>
      </c>
      <c r="E48">
        <f>ROUND((D48*B13)/(C48/B48),0)</f>
        <v>5</v>
      </c>
      <c r="I48">
        <v>100</v>
      </c>
      <c r="Q48">
        <f>ROUND((U13/(($E48/$D48)*($C48/$B48)))*I48,0)</f>
        <v>101</v>
      </c>
    </row>
    <row r="49" spans="1:21" x14ac:dyDescent="0.25">
      <c r="A49" t="s">
        <v>116</v>
      </c>
      <c r="B49">
        <v>36</v>
      </c>
      <c r="C49">
        <f>dist_calculations!E3</f>
        <v>16</v>
      </c>
      <c r="D49">
        <v>2</v>
      </c>
      <c r="E49">
        <f>ROUND((D49*B14)/(C49/B49),0)</f>
        <v>4</v>
      </c>
      <c r="G49" s="8"/>
      <c r="K49">
        <v>75</v>
      </c>
      <c r="L49">
        <v>100</v>
      </c>
      <c r="O49" s="8"/>
      <c r="S49">
        <f>ROUND((W14/(($E49/$D49)*($C49/$B49)))*K49,0)</f>
        <v>96</v>
      </c>
      <c r="T49">
        <f>ROUND((X14/(($E49/$D49)*($C49/$B49)))*L49,0)</f>
        <v>82</v>
      </c>
    </row>
    <row r="50" spans="1:21" x14ac:dyDescent="0.25">
      <c r="A50" t="s">
        <v>56</v>
      </c>
      <c r="B50">
        <v>30</v>
      </c>
      <c r="C50">
        <v>22</v>
      </c>
      <c r="D50">
        <v>2</v>
      </c>
      <c r="E50">
        <f>ROUND((D50*B15)/(C50/B50),0)</f>
        <v>4</v>
      </c>
      <c r="G50" s="8"/>
      <c r="J50">
        <v>100</v>
      </c>
      <c r="O50" s="8"/>
      <c r="R50">
        <f>ROUND((V15/(($E50/$D50)*($C50/$B50)))*J50,0)</f>
        <v>103</v>
      </c>
    </row>
    <row r="51" spans="1:21" x14ac:dyDescent="0.25">
      <c r="A51" t="s">
        <v>23</v>
      </c>
      <c r="B51">
        <v>30</v>
      </c>
      <c r="D51">
        <v>2</v>
      </c>
      <c r="E51">
        <f>ROUND(D51*B16,0)</f>
        <v>2</v>
      </c>
      <c r="G51" s="8">
        <v>100</v>
      </c>
      <c r="O51" s="8">
        <f>ROUND((S16/($E51/$D51))*G51,0)</f>
        <v>93</v>
      </c>
    </row>
    <row r="52" spans="1:21" x14ac:dyDescent="0.25">
      <c r="A52" t="s">
        <v>26</v>
      </c>
      <c r="B52">
        <v>10</v>
      </c>
      <c r="C52">
        <f>dist_calculations!E16</f>
        <v>14</v>
      </c>
      <c r="D52">
        <v>8</v>
      </c>
      <c r="E52">
        <f>ROUND((D52*B17)/(C52/B52),0)</f>
        <v>10</v>
      </c>
      <c r="G52" s="8">
        <v>16</v>
      </c>
      <c r="I52">
        <v>5</v>
      </c>
      <c r="K52">
        <v>31</v>
      </c>
      <c r="L52">
        <v>16</v>
      </c>
      <c r="O52" s="8">
        <f>ROUND((S17/($E52/$D52))*G52,0)</f>
        <v>17</v>
      </c>
      <c r="Q52">
        <f>ROUND((U17/($E52/$D52))*I52,0)</f>
        <v>7</v>
      </c>
      <c r="S52">
        <f>ROUND((W17/($E52/$D52))*K52,0)</f>
        <v>62</v>
      </c>
      <c r="T52">
        <f>ROUND((X17/($E52/$D52))*L52,0)</f>
        <v>12</v>
      </c>
    </row>
    <row r="53" spans="1:21" x14ac:dyDescent="0.25">
      <c r="A53" t="s">
        <v>154</v>
      </c>
      <c r="B53">
        <v>45</v>
      </c>
      <c r="C53">
        <f>dist_calculations!E12</f>
        <v>20</v>
      </c>
      <c r="D53">
        <v>8</v>
      </c>
      <c r="E53">
        <f>ROUND((D53*B19)/(C53/B53),0)</f>
        <v>9</v>
      </c>
      <c r="M53">
        <v>33</v>
      </c>
      <c r="U53">
        <f>ROUND((Y19/(($E53/$D53)*($C53/$B53)))*M53,0)</f>
        <v>33</v>
      </c>
    </row>
    <row r="54" spans="1:21" x14ac:dyDescent="0.25">
      <c r="A54" t="s">
        <v>80</v>
      </c>
      <c r="B54">
        <v>15</v>
      </c>
      <c r="C54">
        <v>15</v>
      </c>
      <c r="D54">
        <v>15</v>
      </c>
      <c r="E54">
        <f>ROUND(D54*B18,0)</f>
        <v>10</v>
      </c>
      <c r="H54">
        <v>100</v>
      </c>
      <c r="P54" s="8">
        <f>ROUND((T18/($E54/$D54))*H54,0)</f>
        <v>104</v>
      </c>
    </row>
    <row r="55" spans="1:21" x14ac:dyDescent="0.25">
      <c r="A55" t="s">
        <v>51</v>
      </c>
      <c r="B55">
        <v>21</v>
      </c>
      <c r="C55">
        <f>dist_calculations!E8</f>
        <v>52</v>
      </c>
      <c r="D55">
        <v>10</v>
      </c>
      <c r="E55">
        <f>ROUND((D55*B20)/(C55/B55),0)</f>
        <v>7</v>
      </c>
      <c r="I55">
        <v>100</v>
      </c>
      <c r="P55" s="12"/>
      <c r="Q55">
        <f>ROUND((U20/(($E55/$D55)*($C55/$B55)))*I55,0)</f>
        <v>105</v>
      </c>
    </row>
    <row r="56" spans="1:21" x14ac:dyDescent="0.25">
      <c r="A56" t="s">
        <v>61</v>
      </c>
      <c r="B56">
        <v>30</v>
      </c>
      <c r="C56">
        <f>dist_calculations!E4</f>
        <v>24</v>
      </c>
      <c r="D56">
        <v>4</v>
      </c>
      <c r="E56">
        <f>ROUND((D56*B21)/(C56/B56),0)</f>
        <v>8</v>
      </c>
      <c r="G56" s="8"/>
      <c r="K56">
        <v>67</v>
      </c>
      <c r="L56">
        <v>100</v>
      </c>
      <c r="O56" s="8"/>
      <c r="S56">
        <f>ROUND((W21/(($E56/$D56)*($C56/$B56)))*K56,0)</f>
        <v>105</v>
      </c>
      <c r="T56">
        <f>ROUND((X21/(($E56/$D56)*($C56/$B56)))*L56,0)</f>
        <v>61</v>
      </c>
    </row>
    <row r="57" spans="1:21" x14ac:dyDescent="0.25">
      <c r="A57" t="s">
        <v>57</v>
      </c>
      <c r="B57">
        <v>27</v>
      </c>
      <c r="C57">
        <v>12</v>
      </c>
      <c r="D57">
        <v>3</v>
      </c>
      <c r="E57">
        <f>ROUND((D57*B22)/(C57/B57),0)</f>
        <v>4</v>
      </c>
      <c r="G57" s="8"/>
      <c r="J57">
        <v>100</v>
      </c>
      <c r="O57" s="8"/>
      <c r="R57">
        <f>ROUND((V22/(($E57/$D57)*($C57/$B57)))*J57,0)</f>
        <v>111</v>
      </c>
    </row>
    <row r="58" spans="1:21" x14ac:dyDescent="0.25">
      <c r="A58" t="s">
        <v>24</v>
      </c>
      <c r="B58">
        <v>27</v>
      </c>
      <c r="D58">
        <v>3</v>
      </c>
      <c r="E58">
        <f>ROUND(D58*B23,0)</f>
        <v>4</v>
      </c>
      <c r="G58" s="8">
        <v>100</v>
      </c>
      <c r="O58" s="8"/>
    </row>
    <row r="59" spans="1:21" x14ac:dyDescent="0.25">
      <c r="A59" t="s">
        <v>27</v>
      </c>
      <c r="B59">
        <v>4</v>
      </c>
      <c r="C59">
        <f>dist_calculations!E17</f>
        <v>6</v>
      </c>
      <c r="D59">
        <v>12</v>
      </c>
      <c r="E59">
        <f>ROUND((D59*B24)/(C59/B59),0)</f>
        <v>15</v>
      </c>
      <c r="G59" s="8">
        <v>16</v>
      </c>
      <c r="I59">
        <v>5</v>
      </c>
      <c r="K59">
        <v>31</v>
      </c>
      <c r="L59">
        <v>16</v>
      </c>
      <c r="O59">
        <f>ROUND((S24/(($E59/$D59)*($C59/$B59)))*G59,0)</f>
        <v>15</v>
      </c>
      <c r="Q59">
        <f>ROUND((U24/(($E59/$D59)*($C59/$B59)))*I59,0)</f>
        <v>3</v>
      </c>
      <c r="S59">
        <f>ROUND((W24/(($E59/$D59)*($C59/$B59)))*K59,0)</f>
        <v>42</v>
      </c>
      <c r="T59">
        <f>ROUND((X24/(($E59/$D59)*($C59/$B59)))*L59,0)</f>
        <v>8</v>
      </c>
    </row>
    <row r="60" spans="1:21" x14ac:dyDescent="0.25">
      <c r="A60" t="s">
        <v>155</v>
      </c>
      <c r="B60">
        <v>24</v>
      </c>
      <c r="C60">
        <f>dist_calculations!E13</f>
        <v>20</v>
      </c>
      <c r="D60">
        <v>8</v>
      </c>
      <c r="E60">
        <f>ROUND((D60*B25)/(C60/B60),0)</f>
        <v>10</v>
      </c>
      <c r="M60">
        <v>33</v>
      </c>
      <c r="U60">
        <f>ROUND((Y25/(($E60/$D60)*($C60/$B60)))*M60,0)</f>
        <v>33</v>
      </c>
    </row>
    <row r="61" spans="1:21" x14ac:dyDescent="0.25">
      <c r="A61" t="s">
        <v>52</v>
      </c>
      <c r="B61">
        <v>12</v>
      </c>
      <c r="C61">
        <f>dist_calculations!E9</f>
        <v>20</v>
      </c>
      <c r="D61">
        <v>15</v>
      </c>
      <c r="E61">
        <f>ROUND((D61*B26)/(C61/B61),0)</f>
        <v>9</v>
      </c>
      <c r="I61">
        <v>100</v>
      </c>
      <c r="Q61">
        <f>ROUND((U26/(($E61/$D61)*($C61/$B61)))*I61,0)</f>
        <v>96</v>
      </c>
    </row>
    <row r="62" spans="1:21" x14ac:dyDescent="0.25">
      <c r="A62" t="s">
        <v>62</v>
      </c>
      <c r="B62">
        <v>15</v>
      </c>
      <c r="C62">
        <f>dist_calculations!E5</f>
        <v>7</v>
      </c>
      <c r="D62">
        <v>6</v>
      </c>
      <c r="E62">
        <f>ROUND((D62*B27)/(C62/B62),0)</f>
        <v>8</v>
      </c>
      <c r="G62" s="8"/>
      <c r="K62">
        <v>67</v>
      </c>
      <c r="L62">
        <v>100</v>
      </c>
      <c r="O62" s="8"/>
      <c r="S62">
        <f>ROUND((W27/(($E62/$D62)*($C62/$B62)))*K62,0)</f>
        <v>96</v>
      </c>
      <c r="T62">
        <f>ROUND((X27/(($E62/$D62)*($C62/$B62)))*L62,0)</f>
        <v>77</v>
      </c>
    </row>
    <row r="63" spans="1:21" x14ac:dyDescent="0.25">
      <c r="A63" t="s">
        <v>58</v>
      </c>
      <c r="B63">
        <v>24</v>
      </c>
      <c r="C63">
        <v>8</v>
      </c>
      <c r="D63">
        <v>4</v>
      </c>
      <c r="E63">
        <f>ROUND((D63*B28)/(C63/B63),0)</f>
        <v>6</v>
      </c>
      <c r="G63" s="8"/>
      <c r="J63">
        <v>100</v>
      </c>
      <c r="O63" s="8"/>
      <c r="R63">
        <f>ROUND((V28/(($E63/$D63)*($C63/$B63)))*J63,0)</f>
        <v>100</v>
      </c>
    </row>
    <row r="64" spans="1:21" x14ac:dyDescent="0.25">
      <c r="A64" t="s">
        <v>25</v>
      </c>
      <c r="B64">
        <v>12</v>
      </c>
      <c r="D64">
        <v>4</v>
      </c>
      <c r="E64">
        <f>ROUND(D64*B29,0)</f>
        <v>7</v>
      </c>
      <c r="G64" s="8">
        <v>100</v>
      </c>
      <c r="O64" s="8">
        <f>ROUND((S29/($E64/$D64))*G64,0)</f>
        <v>100</v>
      </c>
    </row>
    <row r="65" spans="1:21" x14ac:dyDescent="0.25">
      <c r="A65" t="s">
        <v>31</v>
      </c>
      <c r="B65">
        <v>9</v>
      </c>
      <c r="C65">
        <f>dist_calculations!E22</f>
        <v>8</v>
      </c>
      <c r="D65">
        <v>7</v>
      </c>
      <c r="E65">
        <f>ROUND((D65*B30)/(C65/B65),0)</f>
        <v>8</v>
      </c>
      <c r="G65" s="8">
        <v>16</v>
      </c>
      <c r="H65">
        <v>14</v>
      </c>
      <c r="I65">
        <v>5</v>
      </c>
      <c r="J65">
        <v>8</v>
      </c>
      <c r="K65">
        <v>31</v>
      </c>
      <c r="L65">
        <v>16</v>
      </c>
      <c r="M65">
        <v>20</v>
      </c>
      <c r="O65">
        <f>ROUND((S30/(($E65/$D65)*($C65/$B65)))*G65,0)</f>
        <v>12</v>
      </c>
      <c r="P65">
        <f>ROUND((T30/(($E65/$D65)*($C65/$B65)))*H65,0)</f>
        <v>36</v>
      </c>
      <c r="Q65">
        <f>ROUND((U30/(($E65/$D65)*($C65/$B65)))*I65,0)</f>
        <v>5</v>
      </c>
      <c r="R65">
        <f>ROUND((V30/(($E65/$D65)*($C65/$B65)))*J65,0)</f>
        <v>3</v>
      </c>
      <c r="S65">
        <f>ROUND((W30/(($E65/$D65)*($C65/$B65)))*K65,0)</f>
        <v>27</v>
      </c>
      <c r="T65">
        <f>ROUND((X30/(($E65/$D65)*($C65/$B65)))*L65,0)</f>
        <v>8</v>
      </c>
      <c r="U65">
        <f>ROUND((Y30/($E65/$D65))*M65,0)</f>
        <v>18</v>
      </c>
    </row>
    <row r="66" spans="1:21" x14ac:dyDescent="0.25">
      <c r="A66" t="s">
        <v>29</v>
      </c>
      <c r="B66">
        <v>14</v>
      </c>
      <c r="C66">
        <f>dist_calculations!E24</f>
        <v>38</v>
      </c>
      <c r="D66">
        <v>14</v>
      </c>
      <c r="E66">
        <f>ROUND((D66*B31)/(C66/B66),0)</f>
        <v>6</v>
      </c>
      <c r="G66" s="8">
        <v>16</v>
      </c>
      <c r="H66">
        <v>14</v>
      </c>
      <c r="I66">
        <v>5</v>
      </c>
      <c r="J66">
        <v>8</v>
      </c>
      <c r="K66">
        <v>31</v>
      </c>
      <c r="L66">
        <v>16</v>
      </c>
      <c r="M66">
        <v>20</v>
      </c>
      <c r="O66">
        <f>ROUND((S31/(($E66/$D66)*($C66/$B66)))*G66,0)</f>
        <v>16</v>
      </c>
      <c r="P66">
        <f>ROUND((T31/(($E66/$D66)*($C66/$B66)))*H66,0)</f>
        <v>35</v>
      </c>
      <c r="Q66">
        <f>ROUND((U31/(($E66/$D66)*($C66/$B66)))*I66,0)</f>
        <v>4</v>
      </c>
      <c r="R66">
        <f>ROUND((V31/(($E66/$D66)*($C66/$B66)))*J66,0)</f>
        <v>7</v>
      </c>
      <c r="S66">
        <f>ROUND((W31/(($E66/$D66)*($C66/$B66)))*K66,0)</f>
        <v>32</v>
      </c>
      <c r="T66">
        <f>ROUND((X31/(($E66/$D66)*($C66/$B66)))*L66,0)</f>
        <v>13</v>
      </c>
      <c r="U66">
        <f>ROUND((Y31/(($E66/$D66)*($C66/$B66)))*M66,0)</f>
        <v>10</v>
      </c>
    </row>
    <row r="67" spans="1:21" x14ac:dyDescent="0.25">
      <c r="A67" t="s">
        <v>156</v>
      </c>
      <c r="B67">
        <v>2</v>
      </c>
      <c r="C67">
        <f>dist_calculations!E26</f>
        <v>11</v>
      </c>
      <c r="D67">
        <v>8</v>
      </c>
      <c r="E67">
        <f>ROUND((D67*B32)/(C67/B67),0)</f>
        <v>1</v>
      </c>
      <c r="H67">
        <v>18</v>
      </c>
      <c r="M67">
        <v>26</v>
      </c>
      <c r="P67">
        <f>ROUND((T32/(($E67/$D67)*($C67/$B67)))*H67,0)</f>
        <v>28</v>
      </c>
      <c r="U67">
        <f>ROUND((Y32/(($E67/$D67)*($C67/$B67)))*M67,0)</f>
        <v>33</v>
      </c>
    </row>
    <row r="68" spans="1:21" x14ac:dyDescent="0.25">
      <c r="A68" t="s">
        <v>151</v>
      </c>
      <c r="B68">
        <v>62</v>
      </c>
      <c r="C68">
        <f>dist_calculations!E28</f>
        <v>15</v>
      </c>
      <c r="D68">
        <v>14</v>
      </c>
      <c r="E68">
        <f>ROUND(D68*B$33,0)</f>
        <v>14</v>
      </c>
      <c r="G68" s="8">
        <v>16</v>
      </c>
      <c r="H68">
        <v>28</v>
      </c>
      <c r="I68">
        <v>5</v>
      </c>
      <c r="J68">
        <v>8</v>
      </c>
      <c r="K68">
        <v>31</v>
      </c>
      <c r="L68">
        <v>16</v>
      </c>
      <c r="M68">
        <v>20</v>
      </c>
      <c r="O68" s="8">
        <f>ROUND((S33/($E68/$D68))*G68,0)</f>
        <v>16</v>
      </c>
      <c r="P68" s="8">
        <f>ROUND((T33/($E68/$D68))*H68,0)</f>
        <v>28</v>
      </c>
      <c r="Q68" s="8">
        <f>ROUND((U33/($E68/$D68))*I68,0)</f>
        <v>5</v>
      </c>
      <c r="R68" s="8">
        <f>ROUND((V33/($E68/$D68))*J68,0)</f>
        <v>8</v>
      </c>
      <c r="S68" s="8">
        <f>ROUND((W33/($E68/$D68))*K68,0)</f>
        <v>31</v>
      </c>
      <c r="T68" s="8">
        <f>ROUND((X33/($E68/$D68))*L68,0)</f>
        <v>16</v>
      </c>
      <c r="U68" s="8">
        <f>ROUND((Y33/($E68/$D68))*M68,0)</f>
        <v>20</v>
      </c>
    </row>
    <row r="69" spans="1:21" x14ac:dyDescent="0.25">
      <c r="A69" t="s">
        <v>30</v>
      </c>
      <c r="B69">
        <v>41</v>
      </c>
      <c r="C69">
        <f>dist_calculations!E29</f>
        <v>10</v>
      </c>
      <c r="D69">
        <v>42</v>
      </c>
      <c r="E69">
        <f>ROUND(D69*B$34,0)</f>
        <v>42</v>
      </c>
      <c r="G69" s="8">
        <v>16</v>
      </c>
      <c r="H69">
        <v>28</v>
      </c>
      <c r="I69">
        <v>5</v>
      </c>
      <c r="J69">
        <v>8</v>
      </c>
      <c r="K69">
        <v>31</v>
      </c>
      <c r="L69">
        <v>16</v>
      </c>
      <c r="M69">
        <v>20</v>
      </c>
      <c r="O69" s="8">
        <f>ROUND((S34/($E69/$D69))*G69,0)</f>
        <v>16</v>
      </c>
      <c r="P69" s="8">
        <f>ROUND((T34/($E69/$D69))*H69,0)</f>
        <v>29</v>
      </c>
      <c r="Q69" s="8">
        <f>ROUND((U34/($E69/$D69))*I69,0)</f>
        <v>5</v>
      </c>
      <c r="R69" s="8">
        <f>ROUND((V34/($E69/$D69))*J69,0)</f>
        <v>8</v>
      </c>
      <c r="S69" s="8">
        <f>ROUND((W34/($E69/$D69))*K69,0)</f>
        <v>31</v>
      </c>
      <c r="T69" s="8">
        <f>ROUND((X34/($E69/$D69))*L69,0)</f>
        <v>16</v>
      </c>
      <c r="U69" s="8">
        <f>ROUND((Y34/($E69/$D69))*M69,0)</f>
        <v>19</v>
      </c>
    </row>
    <row r="71" spans="1:21" x14ac:dyDescent="0.25">
      <c r="A71" s="1" t="s">
        <v>241</v>
      </c>
    </row>
    <row r="72" spans="1:21" x14ac:dyDescent="0.25">
      <c r="A72" s="1" t="s">
        <v>12</v>
      </c>
      <c r="B72" s="7" t="s">
        <v>2</v>
      </c>
      <c r="C72" s="1" t="s">
        <v>72</v>
      </c>
      <c r="D72" s="1" t="s">
        <v>3</v>
      </c>
      <c r="E72" s="1" t="s">
        <v>4</v>
      </c>
      <c r="F72" s="1" t="s">
        <v>5</v>
      </c>
      <c r="G72" s="1" t="s">
        <v>6</v>
      </c>
      <c r="H72" s="1" t="s">
        <v>227</v>
      </c>
      <c r="I72" s="1" t="s">
        <v>228</v>
      </c>
    </row>
    <row r="73" spans="1:21" x14ac:dyDescent="0.25">
      <c r="A73" t="s">
        <v>16</v>
      </c>
      <c r="B73">
        <f>$E38*2*O38/100</f>
        <v>2</v>
      </c>
      <c r="C73">
        <f t="shared" ref="C73:I73" si="0">$E38*2*P38/100</f>
        <v>0</v>
      </c>
      <c r="D73">
        <f t="shared" si="0"/>
        <v>5.2</v>
      </c>
      <c r="E73">
        <f t="shared" si="0"/>
        <v>0</v>
      </c>
      <c r="F73">
        <f t="shared" si="0"/>
        <v>1</v>
      </c>
      <c r="G73">
        <f t="shared" si="0"/>
        <v>0.8</v>
      </c>
      <c r="H73">
        <f t="shared" si="0"/>
        <v>0</v>
      </c>
      <c r="I73">
        <f t="shared" si="0"/>
        <v>0</v>
      </c>
    </row>
    <row r="74" spans="1:21" x14ac:dyDescent="0.25">
      <c r="A74" t="s">
        <v>78</v>
      </c>
      <c r="B74">
        <f t="shared" ref="B74:I74" si="1">$E39*2*O39/100</f>
        <v>0</v>
      </c>
      <c r="C74">
        <f t="shared" si="1"/>
        <v>12.24</v>
      </c>
      <c r="D74">
        <f t="shared" si="1"/>
        <v>0</v>
      </c>
      <c r="E74">
        <f t="shared" si="1"/>
        <v>0</v>
      </c>
      <c r="F74">
        <f t="shared" si="1"/>
        <v>0</v>
      </c>
      <c r="G74">
        <f t="shared" si="1"/>
        <v>0</v>
      </c>
      <c r="H74">
        <f t="shared" si="1"/>
        <v>0</v>
      </c>
      <c r="I74">
        <f t="shared" si="1"/>
        <v>0</v>
      </c>
    </row>
    <row r="75" spans="1:21" x14ac:dyDescent="0.25">
      <c r="A75" t="s">
        <v>152</v>
      </c>
      <c r="B75">
        <f t="shared" ref="B75:I75" si="2">$E40*2*O40/100</f>
        <v>0</v>
      </c>
      <c r="C75">
        <f t="shared" si="2"/>
        <v>0</v>
      </c>
      <c r="D75">
        <f t="shared" si="2"/>
        <v>0</v>
      </c>
      <c r="E75">
        <f t="shared" si="2"/>
        <v>0</v>
      </c>
      <c r="F75">
        <f t="shared" si="2"/>
        <v>0</v>
      </c>
      <c r="G75">
        <f t="shared" si="2"/>
        <v>0</v>
      </c>
      <c r="H75">
        <f t="shared" si="2"/>
        <v>3.3</v>
      </c>
      <c r="I75">
        <f t="shared" si="2"/>
        <v>0</v>
      </c>
    </row>
    <row r="76" spans="1:21" x14ac:dyDescent="0.25">
      <c r="A76" t="s">
        <v>49</v>
      </c>
      <c r="B76">
        <f t="shared" ref="B76:I76" si="3">$E41*2*O41/100</f>
        <v>0</v>
      </c>
      <c r="C76">
        <f t="shared" si="3"/>
        <v>0</v>
      </c>
      <c r="D76">
        <f t="shared" si="3"/>
        <v>8.9600000000000009</v>
      </c>
      <c r="E76">
        <f t="shared" si="3"/>
        <v>0</v>
      </c>
      <c r="F76">
        <f t="shared" si="3"/>
        <v>0</v>
      </c>
      <c r="G76">
        <f t="shared" si="3"/>
        <v>0</v>
      </c>
      <c r="H76">
        <f t="shared" si="3"/>
        <v>0</v>
      </c>
      <c r="I76">
        <f t="shared" si="3"/>
        <v>0</v>
      </c>
    </row>
    <row r="77" spans="1:21" x14ac:dyDescent="0.25">
      <c r="A77" t="s">
        <v>59</v>
      </c>
      <c r="B77">
        <f t="shared" ref="B77:I77" si="4">$E42*2*O42/100</f>
        <v>0</v>
      </c>
      <c r="C77">
        <f t="shared" si="4"/>
        <v>0</v>
      </c>
      <c r="D77">
        <f t="shared" si="4"/>
        <v>0</v>
      </c>
      <c r="E77">
        <f t="shared" si="4"/>
        <v>0</v>
      </c>
      <c r="F77">
        <f t="shared" si="4"/>
        <v>5.94</v>
      </c>
      <c r="G77">
        <f t="shared" si="4"/>
        <v>5.16</v>
      </c>
      <c r="H77">
        <f t="shared" si="4"/>
        <v>0</v>
      </c>
      <c r="I77">
        <f t="shared" si="4"/>
        <v>0</v>
      </c>
    </row>
    <row r="78" spans="1:21" x14ac:dyDescent="0.25">
      <c r="A78" t="s">
        <v>55</v>
      </c>
      <c r="B78">
        <f t="shared" ref="B78:I78" si="5">$E43*2*O43/100</f>
        <v>0</v>
      </c>
      <c r="C78">
        <f t="shared" si="5"/>
        <v>0</v>
      </c>
      <c r="D78">
        <f t="shared" si="5"/>
        <v>0</v>
      </c>
      <c r="E78">
        <f t="shared" si="5"/>
        <v>7.12</v>
      </c>
      <c r="F78">
        <f t="shared" si="5"/>
        <v>0</v>
      </c>
      <c r="G78">
        <f t="shared" si="5"/>
        <v>0</v>
      </c>
      <c r="H78">
        <f t="shared" si="5"/>
        <v>0</v>
      </c>
      <c r="I78">
        <f t="shared" si="5"/>
        <v>0</v>
      </c>
    </row>
    <row r="79" spans="1:21" x14ac:dyDescent="0.25">
      <c r="A79" t="s">
        <v>21</v>
      </c>
      <c r="B79">
        <f t="shared" ref="B79:I79" si="6">$E44*2*O44/100</f>
        <v>1.26</v>
      </c>
      <c r="C79">
        <f t="shared" si="6"/>
        <v>0</v>
      </c>
      <c r="D79">
        <f t="shared" si="6"/>
        <v>0</v>
      </c>
      <c r="E79">
        <f t="shared" si="6"/>
        <v>0</v>
      </c>
      <c r="F79">
        <f t="shared" si="6"/>
        <v>0</v>
      </c>
      <c r="G79">
        <f t="shared" si="6"/>
        <v>0</v>
      </c>
      <c r="H79">
        <f t="shared" si="6"/>
        <v>0</v>
      </c>
      <c r="I79">
        <f t="shared" si="6"/>
        <v>0</v>
      </c>
    </row>
    <row r="80" spans="1:21" x14ac:dyDescent="0.25">
      <c r="A80" t="s">
        <v>22</v>
      </c>
      <c r="B80">
        <f t="shared" ref="B80:I80" si="7">$E45*2*O45/100</f>
        <v>2.4</v>
      </c>
      <c r="C80">
        <f t="shared" si="7"/>
        <v>0</v>
      </c>
      <c r="D80">
        <f t="shared" si="7"/>
        <v>1.6</v>
      </c>
      <c r="E80">
        <f t="shared" si="7"/>
        <v>0</v>
      </c>
      <c r="F80">
        <f t="shared" si="7"/>
        <v>5.6</v>
      </c>
      <c r="G80">
        <f t="shared" si="7"/>
        <v>1.92</v>
      </c>
      <c r="H80">
        <f t="shared" si="7"/>
        <v>0</v>
      </c>
      <c r="I80">
        <f t="shared" si="7"/>
        <v>0</v>
      </c>
    </row>
    <row r="81" spans="1:9" x14ac:dyDescent="0.25">
      <c r="A81" t="s">
        <v>153</v>
      </c>
      <c r="B81">
        <f t="shared" ref="B81:I81" si="8">$E46*2*O46/100</f>
        <v>0</v>
      </c>
      <c r="C81">
        <f t="shared" si="8"/>
        <v>0</v>
      </c>
      <c r="D81">
        <f t="shared" si="8"/>
        <v>0</v>
      </c>
      <c r="E81">
        <f t="shared" si="8"/>
        <v>0</v>
      </c>
      <c r="F81">
        <f t="shared" si="8"/>
        <v>0</v>
      </c>
      <c r="G81">
        <f t="shared" si="8"/>
        <v>0</v>
      </c>
      <c r="H81">
        <f t="shared" si="8"/>
        <v>4.62</v>
      </c>
      <c r="I81">
        <f t="shared" si="8"/>
        <v>0</v>
      </c>
    </row>
    <row r="82" spans="1:9" x14ac:dyDescent="0.25">
      <c r="A82" t="s">
        <v>79</v>
      </c>
      <c r="B82">
        <f t="shared" ref="B82:I82" si="9">$E47*2*O47/100</f>
        <v>0</v>
      </c>
      <c r="C82">
        <f t="shared" si="9"/>
        <v>14.84</v>
      </c>
      <c r="D82">
        <f t="shared" si="9"/>
        <v>0</v>
      </c>
      <c r="E82">
        <f t="shared" si="9"/>
        <v>0</v>
      </c>
      <c r="F82">
        <f t="shared" si="9"/>
        <v>0</v>
      </c>
      <c r="G82">
        <f t="shared" si="9"/>
        <v>0</v>
      </c>
      <c r="H82">
        <f t="shared" si="9"/>
        <v>0</v>
      </c>
      <c r="I82">
        <f t="shared" si="9"/>
        <v>0</v>
      </c>
    </row>
    <row r="83" spans="1:9" x14ac:dyDescent="0.25">
      <c r="A83" t="s">
        <v>50</v>
      </c>
      <c r="B83">
        <f t="shared" ref="B83:I83" si="10">$E48*2*O48/100</f>
        <v>0</v>
      </c>
      <c r="C83">
        <f t="shared" si="10"/>
        <v>0</v>
      </c>
      <c r="D83">
        <f t="shared" si="10"/>
        <v>10.1</v>
      </c>
      <c r="E83">
        <f t="shared" si="10"/>
        <v>0</v>
      </c>
      <c r="F83">
        <f t="shared" si="10"/>
        <v>0</v>
      </c>
      <c r="G83">
        <f t="shared" si="10"/>
        <v>0</v>
      </c>
      <c r="H83">
        <f t="shared" si="10"/>
        <v>0</v>
      </c>
      <c r="I83">
        <f t="shared" si="10"/>
        <v>0</v>
      </c>
    </row>
    <row r="84" spans="1:9" x14ac:dyDescent="0.25">
      <c r="A84" t="s">
        <v>116</v>
      </c>
      <c r="B84">
        <f t="shared" ref="B84:I84" si="11">$E49*2*O49/100</f>
        <v>0</v>
      </c>
      <c r="C84">
        <f t="shared" si="11"/>
        <v>0</v>
      </c>
      <c r="D84">
        <f t="shared" si="11"/>
        <v>0</v>
      </c>
      <c r="E84">
        <f t="shared" si="11"/>
        <v>0</v>
      </c>
      <c r="F84">
        <f t="shared" si="11"/>
        <v>7.68</v>
      </c>
      <c r="G84">
        <f t="shared" si="11"/>
        <v>6.56</v>
      </c>
      <c r="H84">
        <f t="shared" si="11"/>
        <v>0</v>
      </c>
      <c r="I84">
        <f t="shared" si="11"/>
        <v>0</v>
      </c>
    </row>
    <row r="85" spans="1:9" x14ac:dyDescent="0.25">
      <c r="A85" t="s">
        <v>56</v>
      </c>
      <c r="B85">
        <f t="shared" ref="B85:I85" si="12">$E50*2*O50/100</f>
        <v>0</v>
      </c>
      <c r="C85">
        <f t="shared" si="12"/>
        <v>0</v>
      </c>
      <c r="D85">
        <f t="shared" si="12"/>
        <v>0</v>
      </c>
      <c r="E85">
        <f t="shared" si="12"/>
        <v>8.24</v>
      </c>
      <c r="F85">
        <f t="shared" si="12"/>
        <v>0</v>
      </c>
      <c r="G85">
        <f t="shared" si="12"/>
        <v>0</v>
      </c>
      <c r="H85">
        <f t="shared" si="12"/>
        <v>0</v>
      </c>
      <c r="I85">
        <f t="shared" si="12"/>
        <v>0</v>
      </c>
    </row>
    <row r="86" spans="1:9" x14ac:dyDescent="0.25">
      <c r="A86" t="s">
        <v>23</v>
      </c>
      <c r="B86">
        <f t="shared" ref="B86:I86" si="13">$E51*2*O51/100</f>
        <v>3.72</v>
      </c>
      <c r="C86">
        <f t="shared" si="13"/>
        <v>0</v>
      </c>
      <c r="D86">
        <f t="shared" si="13"/>
        <v>0</v>
      </c>
      <c r="E86">
        <f t="shared" si="13"/>
        <v>0</v>
      </c>
      <c r="F86">
        <f t="shared" si="13"/>
        <v>0</v>
      </c>
      <c r="G86">
        <f t="shared" si="13"/>
        <v>0</v>
      </c>
      <c r="H86">
        <f t="shared" si="13"/>
        <v>0</v>
      </c>
      <c r="I86">
        <f t="shared" si="13"/>
        <v>0</v>
      </c>
    </row>
    <row r="87" spans="1:9" x14ac:dyDescent="0.25">
      <c r="A87" t="s">
        <v>26</v>
      </c>
      <c r="B87">
        <f t="shared" ref="B87:I87" si="14">$E52*2*O52/100</f>
        <v>3.4</v>
      </c>
      <c r="C87">
        <f t="shared" si="14"/>
        <v>0</v>
      </c>
      <c r="D87">
        <f t="shared" si="14"/>
        <v>1.4</v>
      </c>
      <c r="E87">
        <f t="shared" si="14"/>
        <v>0</v>
      </c>
      <c r="F87">
        <f t="shared" si="14"/>
        <v>12.4</v>
      </c>
      <c r="G87">
        <f t="shared" si="14"/>
        <v>2.4</v>
      </c>
      <c r="H87">
        <f t="shared" si="14"/>
        <v>0</v>
      </c>
      <c r="I87">
        <f t="shared" si="14"/>
        <v>0</v>
      </c>
    </row>
    <row r="88" spans="1:9" x14ac:dyDescent="0.25">
      <c r="A88" t="s">
        <v>154</v>
      </c>
      <c r="B88">
        <f t="shared" ref="B88:I88" si="15">$E53*2*O53/100</f>
        <v>0</v>
      </c>
      <c r="C88">
        <f t="shared" si="15"/>
        <v>0</v>
      </c>
      <c r="D88">
        <f t="shared" si="15"/>
        <v>0</v>
      </c>
      <c r="E88">
        <f t="shared" si="15"/>
        <v>0</v>
      </c>
      <c r="F88">
        <f t="shared" si="15"/>
        <v>0</v>
      </c>
      <c r="G88">
        <f t="shared" si="15"/>
        <v>0</v>
      </c>
      <c r="H88">
        <f t="shared" si="15"/>
        <v>5.94</v>
      </c>
      <c r="I88">
        <f t="shared" si="15"/>
        <v>0</v>
      </c>
    </row>
    <row r="89" spans="1:9" x14ac:dyDescent="0.25">
      <c r="A89" t="s">
        <v>80</v>
      </c>
      <c r="B89">
        <f t="shared" ref="B89:I89" si="16">$E54*2*O54/100</f>
        <v>0</v>
      </c>
      <c r="C89">
        <f t="shared" si="16"/>
        <v>20.8</v>
      </c>
      <c r="D89">
        <f t="shared" si="16"/>
        <v>0</v>
      </c>
      <c r="E89">
        <f t="shared" si="16"/>
        <v>0</v>
      </c>
      <c r="F89">
        <f t="shared" si="16"/>
        <v>0</v>
      </c>
      <c r="G89">
        <f t="shared" si="16"/>
        <v>0</v>
      </c>
      <c r="H89">
        <f t="shared" si="16"/>
        <v>0</v>
      </c>
      <c r="I89">
        <f t="shared" si="16"/>
        <v>0</v>
      </c>
    </row>
    <row r="90" spans="1:9" x14ac:dyDescent="0.25">
      <c r="A90" t="s">
        <v>51</v>
      </c>
      <c r="B90">
        <f t="shared" ref="B90:I90" si="17">$E55*2*O55/100</f>
        <v>0</v>
      </c>
      <c r="C90">
        <f t="shared" si="17"/>
        <v>0</v>
      </c>
      <c r="D90">
        <f t="shared" si="17"/>
        <v>14.7</v>
      </c>
      <c r="E90">
        <f t="shared" si="17"/>
        <v>0</v>
      </c>
      <c r="F90">
        <f t="shared" si="17"/>
        <v>0</v>
      </c>
      <c r="G90">
        <f t="shared" si="17"/>
        <v>0</v>
      </c>
      <c r="H90">
        <f t="shared" si="17"/>
        <v>0</v>
      </c>
      <c r="I90">
        <f t="shared" si="17"/>
        <v>0</v>
      </c>
    </row>
    <row r="91" spans="1:9" x14ac:dyDescent="0.25">
      <c r="A91" t="s">
        <v>61</v>
      </c>
      <c r="B91">
        <f t="shared" ref="B91:I91" si="18">$E56*2*O56/100</f>
        <v>0</v>
      </c>
      <c r="C91">
        <f t="shared" si="18"/>
        <v>0</v>
      </c>
      <c r="D91">
        <f t="shared" si="18"/>
        <v>0</v>
      </c>
      <c r="E91">
        <f t="shared" si="18"/>
        <v>0</v>
      </c>
      <c r="F91">
        <f t="shared" si="18"/>
        <v>16.8</v>
      </c>
      <c r="G91">
        <f t="shared" si="18"/>
        <v>9.76</v>
      </c>
      <c r="H91">
        <f t="shared" si="18"/>
        <v>0</v>
      </c>
      <c r="I91">
        <f t="shared" si="18"/>
        <v>0</v>
      </c>
    </row>
    <row r="92" spans="1:9" x14ac:dyDescent="0.25">
      <c r="A92" t="s">
        <v>57</v>
      </c>
      <c r="B92">
        <f t="shared" ref="B92:I92" si="19">$E57*2*O57/100</f>
        <v>0</v>
      </c>
      <c r="C92">
        <f t="shared" si="19"/>
        <v>0</v>
      </c>
      <c r="D92">
        <f t="shared" si="19"/>
        <v>0</v>
      </c>
      <c r="E92">
        <f t="shared" si="19"/>
        <v>8.8800000000000008</v>
      </c>
      <c r="F92">
        <f t="shared" si="19"/>
        <v>0</v>
      </c>
      <c r="G92">
        <f t="shared" si="19"/>
        <v>0</v>
      </c>
      <c r="H92">
        <f t="shared" si="19"/>
        <v>0</v>
      </c>
      <c r="I92">
        <f t="shared" si="19"/>
        <v>0</v>
      </c>
    </row>
    <row r="93" spans="1:9" x14ac:dyDescent="0.25">
      <c r="A93" t="s">
        <v>24</v>
      </c>
      <c r="B93">
        <f t="shared" ref="B93:I93" si="20">$E58*2*O58/100</f>
        <v>0</v>
      </c>
      <c r="C93">
        <f t="shared" si="20"/>
        <v>0</v>
      </c>
      <c r="D93">
        <f t="shared" si="20"/>
        <v>0</v>
      </c>
      <c r="E93">
        <f t="shared" si="20"/>
        <v>0</v>
      </c>
      <c r="F93">
        <f t="shared" si="20"/>
        <v>0</v>
      </c>
      <c r="G93">
        <f t="shared" si="20"/>
        <v>0</v>
      </c>
      <c r="H93">
        <f t="shared" si="20"/>
        <v>0</v>
      </c>
      <c r="I93">
        <f t="shared" si="20"/>
        <v>0</v>
      </c>
    </row>
    <row r="94" spans="1:9" x14ac:dyDescent="0.25">
      <c r="A94" t="s">
        <v>27</v>
      </c>
      <c r="B94">
        <f t="shared" ref="B94:I94" si="21">$E59*2*O59/100</f>
        <v>4.5</v>
      </c>
      <c r="C94">
        <f t="shared" si="21"/>
        <v>0</v>
      </c>
      <c r="D94">
        <f t="shared" si="21"/>
        <v>0.9</v>
      </c>
      <c r="E94">
        <f t="shared" si="21"/>
        <v>0</v>
      </c>
      <c r="F94">
        <f t="shared" si="21"/>
        <v>12.6</v>
      </c>
      <c r="G94">
        <f t="shared" si="21"/>
        <v>2.4</v>
      </c>
      <c r="H94">
        <f t="shared" si="21"/>
        <v>0</v>
      </c>
      <c r="I94">
        <f t="shared" si="21"/>
        <v>0</v>
      </c>
    </row>
    <row r="95" spans="1:9" x14ac:dyDescent="0.25">
      <c r="A95" t="s">
        <v>155</v>
      </c>
      <c r="B95">
        <f t="shared" ref="B95:I95" si="22">$E60*2*O60/100</f>
        <v>0</v>
      </c>
      <c r="C95">
        <f t="shared" si="22"/>
        <v>0</v>
      </c>
      <c r="D95">
        <f t="shared" si="22"/>
        <v>0</v>
      </c>
      <c r="E95">
        <f t="shared" si="22"/>
        <v>0</v>
      </c>
      <c r="F95">
        <f t="shared" si="22"/>
        <v>0</v>
      </c>
      <c r="G95">
        <f t="shared" si="22"/>
        <v>0</v>
      </c>
      <c r="H95">
        <f t="shared" si="22"/>
        <v>6.6</v>
      </c>
      <c r="I95">
        <f t="shared" si="22"/>
        <v>0</v>
      </c>
    </row>
    <row r="96" spans="1:9" x14ac:dyDescent="0.25">
      <c r="A96" t="s">
        <v>52</v>
      </c>
      <c r="B96">
        <f t="shared" ref="B96:I96" si="23">$E61*2*O61/100</f>
        <v>0</v>
      </c>
      <c r="C96">
        <f t="shared" si="23"/>
        <v>0</v>
      </c>
      <c r="D96">
        <f t="shared" si="23"/>
        <v>17.28</v>
      </c>
      <c r="E96">
        <f t="shared" si="23"/>
        <v>0</v>
      </c>
      <c r="F96">
        <f t="shared" si="23"/>
        <v>0</v>
      </c>
      <c r="G96">
        <f t="shared" si="23"/>
        <v>0</v>
      </c>
      <c r="H96">
        <f t="shared" si="23"/>
        <v>0</v>
      </c>
      <c r="I96">
        <f t="shared" si="23"/>
        <v>0</v>
      </c>
    </row>
    <row r="97" spans="1:9" x14ac:dyDescent="0.25">
      <c r="A97" t="s">
        <v>62</v>
      </c>
      <c r="B97">
        <f t="shared" ref="B97:I97" si="24">$E62*2*O62/100</f>
        <v>0</v>
      </c>
      <c r="C97">
        <f t="shared" si="24"/>
        <v>0</v>
      </c>
      <c r="D97">
        <f t="shared" si="24"/>
        <v>0</v>
      </c>
      <c r="E97">
        <f t="shared" si="24"/>
        <v>0</v>
      </c>
      <c r="F97">
        <f t="shared" si="24"/>
        <v>15.36</v>
      </c>
      <c r="G97">
        <f t="shared" si="24"/>
        <v>12.32</v>
      </c>
      <c r="H97">
        <f t="shared" si="24"/>
        <v>0</v>
      </c>
      <c r="I97">
        <f t="shared" si="24"/>
        <v>0</v>
      </c>
    </row>
    <row r="98" spans="1:9" x14ac:dyDescent="0.25">
      <c r="A98" t="s">
        <v>58</v>
      </c>
      <c r="B98">
        <f t="shared" ref="B98:I98" si="25">$E63*2*O63/100</f>
        <v>0</v>
      </c>
      <c r="C98">
        <f t="shared" si="25"/>
        <v>0</v>
      </c>
      <c r="D98">
        <f t="shared" si="25"/>
        <v>0</v>
      </c>
      <c r="E98">
        <f t="shared" si="25"/>
        <v>12</v>
      </c>
      <c r="F98">
        <f t="shared" si="25"/>
        <v>0</v>
      </c>
      <c r="G98">
        <f t="shared" si="25"/>
        <v>0</v>
      </c>
      <c r="H98">
        <f t="shared" si="25"/>
        <v>0</v>
      </c>
      <c r="I98">
        <f t="shared" si="25"/>
        <v>0</v>
      </c>
    </row>
    <row r="99" spans="1:9" x14ac:dyDescent="0.25">
      <c r="A99" t="s">
        <v>25</v>
      </c>
      <c r="B99">
        <f t="shared" ref="B99:I99" si="26">$E64*2*O64/100</f>
        <v>14</v>
      </c>
      <c r="C99">
        <f t="shared" si="26"/>
        <v>0</v>
      </c>
      <c r="D99">
        <f t="shared" si="26"/>
        <v>0</v>
      </c>
      <c r="E99">
        <f t="shared" si="26"/>
        <v>0</v>
      </c>
      <c r="F99">
        <f t="shared" si="26"/>
        <v>0</v>
      </c>
      <c r="G99">
        <f t="shared" si="26"/>
        <v>0</v>
      </c>
      <c r="H99">
        <f t="shared" si="26"/>
        <v>0</v>
      </c>
      <c r="I99">
        <f t="shared" si="26"/>
        <v>0</v>
      </c>
    </row>
    <row r="100" spans="1:9" x14ac:dyDescent="0.25">
      <c r="A100" t="s">
        <v>31</v>
      </c>
      <c r="B100">
        <f t="shared" ref="B100:I100" si="27">$E65*2*O65/100</f>
        <v>1.92</v>
      </c>
      <c r="C100">
        <f t="shared" si="27"/>
        <v>5.76</v>
      </c>
      <c r="D100">
        <f t="shared" si="27"/>
        <v>0.8</v>
      </c>
      <c r="E100">
        <f t="shared" si="27"/>
        <v>0.48</v>
      </c>
      <c r="F100">
        <f t="shared" si="27"/>
        <v>4.32</v>
      </c>
      <c r="G100">
        <f t="shared" si="27"/>
        <v>1.28</v>
      </c>
      <c r="H100">
        <f t="shared" si="27"/>
        <v>2.88</v>
      </c>
      <c r="I100">
        <f t="shared" si="27"/>
        <v>0</v>
      </c>
    </row>
    <row r="101" spans="1:9" x14ac:dyDescent="0.25">
      <c r="A101" t="s">
        <v>29</v>
      </c>
      <c r="B101">
        <f t="shared" ref="B101:I101" si="28">$E66*2*O66/100</f>
        <v>1.92</v>
      </c>
      <c r="C101">
        <f t="shared" si="28"/>
        <v>4.2</v>
      </c>
      <c r="D101">
        <f t="shared" si="28"/>
        <v>0.48</v>
      </c>
      <c r="E101">
        <f t="shared" si="28"/>
        <v>0.84</v>
      </c>
      <c r="F101">
        <f t="shared" si="28"/>
        <v>3.84</v>
      </c>
      <c r="G101">
        <f t="shared" si="28"/>
        <v>1.56</v>
      </c>
      <c r="H101">
        <f t="shared" si="28"/>
        <v>1.2</v>
      </c>
      <c r="I101">
        <f t="shared" si="28"/>
        <v>0</v>
      </c>
    </row>
    <row r="102" spans="1:9" x14ac:dyDescent="0.25">
      <c r="A102" t="s">
        <v>156</v>
      </c>
      <c r="B102">
        <f t="shared" ref="B102:I102" si="29">$E67*2*O67/100</f>
        <v>0</v>
      </c>
      <c r="C102">
        <f t="shared" si="29"/>
        <v>0.56000000000000005</v>
      </c>
      <c r="D102">
        <f t="shared" si="29"/>
        <v>0</v>
      </c>
      <c r="E102">
        <f t="shared" si="29"/>
        <v>0</v>
      </c>
      <c r="F102">
        <f t="shared" si="29"/>
        <v>0</v>
      </c>
      <c r="G102">
        <f t="shared" si="29"/>
        <v>0</v>
      </c>
      <c r="H102">
        <f t="shared" si="29"/>
        <v>0.66</v>
      </c>
      <c r="I102">
        <f t="shared" si="29"/>
        <v>0</v>
      </c>
    </row>
    <row r="103" spans="1:9" x14ac:dyDescent="0.25">
      <c r="A103" t="s">
        <v>151</v>
      </c>
      <c r="B103">
        <f t="shared" ref="B103:I103" si="30">$E68*2*O68/100</f>
        <v>4.4800000000000004</v>
      </c>
      <c r="C103">
        <f t="shared" si="30"/>
        <v>7.84</v>
      </c>
      <c r="D103">
        <f t="shared" si="30"/>
        <v>1.4</v>
      </c>
      <c r="E103">
        <f t="shared" si="30"/>
        <v>2.2400000000000002</v>
      </c>
      <c r="F103">
        <f t="shared" si="30"/>
        <v>8.68</v>
      </c>
      <c r="G103">
        <f t="shared" si="30"/>
        <v>4.4800000000000004</v>
      </c>
      <c r="H103">
        <f t="shared" si="30"/>
        <v>5.6</v>
      </c>
      <c r="I103">
        <f t="shared" si="30"/>
        <v>0</v>
      </c>
    </row>
    <row r="104" spans="1:9" x14ac:dyDescent="0.25">
      <c r="A104" t="s">
        <v>30</v>
      </c>
      <c r="B104">
        <f t="shared" ref="B104:I104" si="31">$E69*2*O69/100</f>
        <v>13.44</v>
      </c>
      <c r="C104">
        <f t="shared" si="31"/>
        <v>24.36</v>
      </c>
      <c r="D104">
        <f t="shared" si="31"/>
        <v>4.2</v>
      </c>
      <c r="E104">
        <f t="shared" si="31"/>
        <v>6.72</v>
      </c>
      <c r="F104">
        <f t="shared" si="31"/>
        <v>26.04</v>
      </c>
      <c r="G104">
        <f t="shared" si="31"/>
        <v>13.44</v>
      </c>
      <c r="H104">
        <f t="shared" si="31"/>
        <v>15.96</v>
      </c>
      <c r="I104">
        <f t="shared" si="3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B93CD-F488-4A49-9F28-018FA4EFE61D}">
  <dimension ref="A1:J36"/>
  <sheetViews>
    <sheetView workbookViewId="0">
      <selection activeCell="C32" sqref="C32"/>
    </sheetView>
  </sheetViews>
  <sheetFormatPr defaultRowHeight="15" x14ac:dyDescent="0.25"/>
  <cols>
    <col min="1" max="1" width="21.140625" customWidth="1"/>
    <col min="2" max="2" width="9.7109375" customWidth="1"/>
    <col min="3" max="3" width="23.42578125" customWidth="1"/>
    <col min="4" max="4" width="19.42578125" customWidth="1"/>
    <col min="5" max="5" width="20.140625" customWidth="1"/>
    <col min="6" max="6" width="16.140625" customWidth="1"/>
    <col min="7" max="7" width="17.140625" customWidth="1"/>
    <col min="8" max="8" width="16.42578125" customWidth="1"/>
    <col min="10" max="10" width="19.42578125" customWidth="1"/>
  </cols>
  <sheetData>
    <row r="1" spans="1:10" x14ac:dyDescent="0.25">
      <c r="A1" s="1" t="s">
        <v>12</v>
      </c>
      <c r="B1" s="1" t="s">
        <v>13</v>
      </c>
      <c r="C1" s="1" t="s">
        <v>14</v>
      </c>
      <c r="D1" s="1" t="s">
        <v>15</v>
      </c>
      <c r="E1" s="1" t="s">
        <v>198</v>
      </c>
      <c r="F1" s="1" t="s">
        <v>18</v>
      </c>
      <c r="G1" s="1" t="s">
        <v>19</v>
      </c>
      <c r="H1" s="1" t="s">
        <v>20</v>
      </c>
      <c r="I1" s="1" t="s">
        <v>103</v>
      </c>
      <c r="J1" s="1"/>
    </row>
    <row r="2" spans="1:10" x14ac:dyDescent="0.25">
      <c r="A2" t="s">
        <v>16</v>
      </c>
      <c r="B2">
        <v>1750</v>
      </c>
      <c r="C2">
        <v>1840</v>
      </c>
      <c r="D2">
        <f xml:space="preserve"> (B2+C2)/2</f>
        <v>1795</v>
      </c>
      <c r="E2">
        <v>75</v>
      </c>
      <c r="F2">
        <v>4</v>
      </c>
      <c r="G2">
        <v>16</v>
      </c>
      <c r="H2">
        <f xml:space="preserve"> E2*F2*G2/100</f>
        <v>48</v>
      </c>
      <c r="I2">
        <v>72</v>
      </c>
    </row>
    <row r="3" spans="1:10" x14ac:dyDescent="0.25">
      <c r="A3" t="s">
        <v>21</v>
      </c>
      <c r="B3">
        <v>1820</v>
      </c>
      <c r="C3">
        <v>1840</v>
      </c>
      <c r="D3">
        <f t="shared" ref="D3:D12" si="0" xml:space="preserve"> (B3+C3)/2</f>
        <v>1830</v>
      </c>
      <c r="E3">
        <v>24</v>
      </c>
      <c r="F3">
        <v>1</v>
      </c>
      <c r="G3">
        <v>100</v>
      </c>
      <c r="H3">
        <f t="shared" ref="H3:H12" si="1" xml:space="preserve"> E3*F3*G3/100</f>
        <v>24</v>
      </c>
      <c r="I3">
        <v>15</v>
      </c>
    </row>
    <row r="4" spans="1:10" x14ac:dyDescent="0.25">
      <c r="A4" t="s">
        <v>22</v>
      </c>
      <c r="B4">
        <v>1840</v>
      </c>
      <c r="C4">
        <v>1910</v>
      </c>
      <c r="D4">
        <f t="shared" si="0"/>
        <v>1875</v>
      </c>
      <c r="E4">
        <v>45</v>
      </c>
      <c r="F4">
        <v>8</v>
      </c>
      <c r="G4">
        <v>16</v>
      </c>
      <c r="H4">
        <f t="shared" si="1"/>
        <v>57.6</v>
      </c>
      <c r="I4">
        <v>54</v>
      </c>
    </row>
    <row r="5" spans="1:10" x14ac:dyDescent="0.25">
      <c r="A5" t="s">
        <v>23</v>
      </c>
      <c r="B5">
        <v>1840</v>
      </c>
      <c r="C5">
        <v>1910</v>
      </c>
      <c r="D5">
        <f t="shared" si="0"/>
        <v>1875</v>
      </c>
      <c r="E5">
        <v>30</v>
      </c>
      <c r="F5">
        <v>2</v>
      </c>
      <c r="G5">
        <v>100</v>
      </c>
      <c r="H5">
        <f t="shared" si="1"/>
        <v>60</v>
      </c>
      <c r="I5">
        <v>56</v>
      </c>
    </row>
    <row r="6" spans="1:10" x14ac:dyDescent="0.25">
      <c r="A6" t="s">
        <v>26</v>
      </c>
      <c r="B6">
        <v>1910</v>
      </c>
      <c r="C6">
        <v>1945</v>
      </c>
      <c r="D6">
        <f t="shared" si="0"/>
        <v>1927.5</v>
      </c>
      <c r="E6">
        <v>10</v>
      </c>
      <c r="F6">
        <v>8</v>
      </c>
      <c r="G6">
        <v>16</v>
      </c>
      <c r="H6">
        <f t="shared" si="1"/>
        <v>12.8</v>
      </c>
      <c r="I6">
        <f>(G$25/C$25)*H6</f>
        <v>16.873956940808974</v>
      </c>
    </row>
    <row r="7" spans="1:10" x14ac:dyDescent="0.25">
      <c r="A7" t="s">
        <v>24</v>
      </c>
      <c r="B7">
        <v>1910</v>
      </c>
      <c r="C7">
        <v>1945</v>
      </c>
      <c r="D7">
        <f xml:space="preserve"> (B7+C7)/2</f>
        <v>1927.5</v>
      </c>
      <c r="E7">
        <v>27</v>
      </c>
      <c r="F7">
        <v>3</v>
      </c>
      <c r="G7">
        <v>100</v>
      </c>
      <c r="H7">
        <f t="shared" si="1"/>
        <v>81</v>
      </c>
      <c r="I7">
        <f>(G$25/C$25)*H7</f>
        <v>106.78050876605678</v>
      </c>
    </row>
    <row r="8" spans="1:10" x14ac:dyDescent="0.25">
      <c r="A8" t="s">
        <v>27</v>
      </c>
      <c r="B8">
        <v>1945</v>
      </c>
      <c r="C8">
        <v>1975</v>
      </c>
      <c r="D8">
        <f t="shared" si="0"/>
        <v>1960</v>
      </c>
      <c r="E8">
        <v>4</v>
      </c>
      <c r="F8">
        <v>12</v>
      </c>
      <c r="G8">
        <v>16</v>
      </c>
      <c r="H8">
        <f t="shared" si="1"/>
        <v>7.68</v>
      </c>
      <c r="I8">
        <f>(G$29/C$29)*H8</f>
        <v>13.498277739832433</v>
      </c>
    </row>
    <row r="9" spans="1:10" x14ac:dyDescent="0.25">
      <c r="A9" t="s">
        <v>25</v>
      </c>
      <c r="B9">
        <v>1945</v>
      </c>
      <c r="C9">
        <v>1975</v>
      </c>
      <c r="D9">
        <f t="shared" si="0"/>
        <v>1960</v>
      </c>
      <c r="E9">
        <v>12</v>
      </c>
      <c r="F9">
        <v>4</v>
      </c>
      <c r="G9">
        <v>100</v>
      </c>
      <c r="H9">
        <f t="shared" si="1"/>
        <v>48</v>
      </c>
      <c r="I9">
        <f>(G$29/C$29)*H9</f>
        <v>84.364235873952708</v>
      </c>
    </row>
    <row r="10" spans="1:10" x14ac:dyDescent="0.25">
      <c r="A10" t="s">
        <v>31</v>
      </c>
      <c r="B10">
        <v>1950</v>
      </c>
      <c r="C10">
        <v>1982</v>
      </c>
      <c r="D10">
        <f t="shared" si="0"/>
        <v>1966</v>
      </c>
      <c r="E10">
        <v>9</v>
      </c>
      <c r="F10">
        <v>7</v>
      </c>
      <c r="G10">
        <v>16</v>
      </c>
      <c r="H10">
        <f t="shared" si="1"/>
        <v>10.08</v>
      </c>
      <c r="I10">
        <f>(G$31/C$31)*H10</f>
        <v>7.4279381204819153</v>
      </c>
    </row>
    <row r="11" spans="1:10" x14ac:dyDescent="0.25">
      <c r="A11" t="s">
        <v>29</v>
      </c>
      <c r="B11">
        <v>1960</v>
      </c>
      <c r="C11">
        <v>1990</v>
      </c>
      <c r="D11">
        <f t="shared" si="0"/>
        <v>1975</v>
      </c>
      <c r="E11">
        <f>dist_calculations!E$24</f>
        <v>38</v>
      </c>
      <c r="F11">
        <v>14</v>
      </c>
      <c r="G11">
        <v>16</v>
      </c>
      <c r="H11">
        <f t="shared" si="1"/>
        <v>85.12</v>
      </c>
      <c r="I11">
        <f>(G$32/C$32)*H11</f>
        <v>97.863608655259725</v>
      </c>
    </row>
    <row r="12" spans="1:10" x14ac:dyDescent="0.25">
      <c r="A12" t="s">
        <v>151</v>
      </c>
      <c r="B12">
        <v>1990</v>
      </c>
      <c r="C12">
        <v>2010</v>
      </c>
      <c r="D12">
        <f t="shared" si="0"/>
        <v>2000</v>
      </c>
      <c r="E12">
        <f>dist_calculations!E$28</f>
        <v>15</v>
      </c>
      <c r="F12">
        <f>42/3</f>
        <v>14</v>
      </c>
      <c r="G12">
        <v>16</v>
      </c>
      <c r="H12">
        <f t="shared" si="1"/>
        <v>33.6</v>
      </c>
      <c r="I12">
        <f>(G$36/C$36)*H12</f>
        <v>33.6</v>
      </c>
    </row>
    <row r="13" spans="1:10" x14ac:dyDescent="0.25">
      <c r="A13" t="s">
        <v>30</v>
      </c>
      <c r="B13">
        <v>1985</v>
      </c>
      <c r="C13">
        <v>2010</v>
      </c>
      <c r="D13">
        <f xml:space="preserve"> (B13+C13)/2</f>
        <v>1997.5</v>
      </c>
      <c r="E13">
        <f>dist_calculations!E$29</f>
        <v>10</v>
      </c>
      <c r="F13">
        <v>42</v>
      </c>
      <c r="G13">
        <v>16</v>
      </c>
      <c r="H13">
        <f xml:space="preserve"> E13*F13*G13/100</f>
        <v>67.2</v>
      </c>
      <c r="I13">
        <f>(G$35/C$35)*H13</f>
        <v>67.661478411015523</v>
      </c>
    </row>
    <row r="15" spans="1:10" x14ac:dyDescent="0.25">
      <c r="B15" s="1" t="s">
        <v>28</v>
      </c>
    </row>
    <row r="16" spans="1:10" x14ac:dyDescent="0.25">
      <c r="A16" s="1"/>
      <c r="B16" s="1" t="s">
        <v>0</v>
      </c>
      <c r="C16" s="1" t="s">
        <v>37</v>
      </c>
      <c r="D16" s="1" t="s">
        <v>38</v>
      </c>
      <c r="E16" s="1" t="s">
        <v>39</v>
      </c>
      <c r="F16" s="1" t="s">
        <v>40</v>
      </c>
      <c r="G16" s="1" t="s">
        <v>41</v>
      </c>
      <c r="H16" s="1" t="s">
        <v>104</v>
      </c>
    </row>
    <row r="17" spans="1:8" x14ac:dyDescent="0.25">
      <c r="B17">
        <v>1750</v>
      </c>
      <c r="C17">
        <f>H2</f>
        <v>48</v>
      </c>
      <c r="H17">
        <f>I2</f>
        <v>72</v>
      </c>
    </row>
    <row r="18" spans="1:8" x14ac:dyDescent="0.25">
      <c r="B18" s="1">
        <v>1800</v>
      </c>
      <c r="C18">
        <f>H2</f>
        <v>48</v>
      </c>
      <c r="D18">
        <f>sources_consumption!D2</f>
        <v>28000</v>
      </c>
      <c r="F18">
        <f>(D18/D$36)*F$36</f>
        <v>68.362534936101454</v>
      </c>
      <c r="G18">
        <f>(F18/F$36)*C$36</f>
        <v>68.909435215590264</v>
      </c>
      <c r="H18">
        <f>I2</f>
        <v>72</v>
      </c>
    </row>
    <row r="19" spans="1:8" x14ac:dyDescent="0.25">
      <c r="B19">
        <v>1820</v>
      </c>
      <c r="C19">
        <f>H2+H3</f>
        <v>72</v>
      </c>
      <c r="E19">
        <f>_xlfn.FORECAST.LINEAR(B19,D$17:D$22,B$17:B$22)</f>
        <v>31800</v>
      </c>
      <c r="F19">
        <f>(E19/D$36)*F$36</f>
        <v>77.640307534572372</v>
      </c>
      <c r="G19">
        <f>(F19/F$36)*C$36</f>
        <v>78.261429994848967</v>
      </c>
      <c r="H19">
        <f>I2+I3</f>
        <v>87</v>
      </c>
    </row>
    <row r="20" spans="1:8" x14ac:dyDescent="0.25">
      <c r="B20" s="1">
        <v>1830</v>
      </c>
      <c r="C20">
        <f>H2+H3</f>
        <v>72</v>
      </c>
      <c r="E20">
        <f>_xlfn.FORECAST.LINEAR(B20,D$17:D$22,B$17:B$22)</f>
        <v>33700</v>
      </c>
      <c r="F20">
        <f>(E20/D$36)*F$36</f>
        <v>82.279193833807824</v>
      </c>
      <c r="G20">
        <f>(F20/F$36)*C$36</f>
        <v>82.937427384478298</v>
      </c>
      <c r="H20">
        <f>I2+I3</f>
        <v>87</v>
      </c>
    </row>
    <row r="21" spans="1:8" x14ac:dyDescent="0.25">
      <c r="B21">
        <v>1840</v>
      </c>
      <c r="C21">
        <f>H4+H5</f>
        <v>117.6</v>
      </c>
      <c r="E21">
        <f>_xlfn.FORECAST.LINEAR(B21,D$17:D$22,B$17:B$22)</f>
        <v>35600</v>
      </c>
      <c r="F21">
        <f>(E21/D$36)*F$36</f>
        <v>86.91808013304329</v>
      </c>
      <c r="G21">
        <f>(F21/F$36)*C$36</f>
        <v>87.613424774107642</v>
      </c>
      <c r="H21">
        <f>I4+I5</f>
        <v>110</v>
      </c>
    </row>
    <row r="22" spans="1:8" x14ac:dyDescent="0.25">
      <c r="B22" s="1">
        <v>1880</v>
      </c>
      <c r="C22">
        <f>H4+H5</f>
        <v>117.6</v>
      </c>
      <c r="D22">
        <f>sources_consumption!D9</f>
        <v>43200</v>
      </c>
      <c r="F22">
        <f>(D22/D$36)*F$36</f>
        <v>105.47362532998513</v>
      </c>
      <c r="G22">
        <f>(F22/F$36)*C$36</f>
        <v>106.31741433262502</v>
      </c>
      <c r="H22">
        <f>I4+I5</f>
        <v>110</v>
      </c>
    </row>
    <row r="23" spans="1:8" x14ac:dyDescent="0.25">
      <c r="B23">
        <v>1900</v>
      </c>
      <c r="C23">
        <f>H4+H5</f>
        <v>117.6</v>
      </c>
      <c r="E23">
        <f>_xlfn.FORECAST.LINEAR(B23,D$22:D$24,B$22:B$24)</f>
        <v>45866.666666666657</v>
      </c>
      <c r="F23">
        <f>(E23/D$36)*F$36</f>
        <v>111.98434294294712</v>
      </c>
      <c r="G23">
        <f>(F23/F$36)*C$36</f>
        <v>112.88021768649071</v>
      </c>
      <c r="H23">
        <f>I4+I5</f>
        <v>110</v>
      </c>
    </row>
    <row r="24" spans="1:8" x14ac:dyDescent="0.25">
      <c r="B24">
        <v>1910</v>
      </c>
      <c r="C24">
        <f>H6+H7</f>
        <v>93.8</v>
      </c>
      <c r="D24">
        <f>sources_consumption!D12</f>
        <v>47200</v>
      </c>
      <c r="F24">
        <f>(D24/D$36)*F$36</f>
        <v>115.23970174942816</v>
      </c>
      <c r="G24">
        <f>(F24/F$36)*C$36</f>
        <v>116.16161936342361</v>
      </c>
      <c r="H24">
        <f>I6+I7</f>
        <v>123.65446570686575</v>
      </c>
    </row>
    <row r="25" spans="1:8" x14ac:dyDescent="0.25">
      <c r="B25" s="1">
        <v>1928</v>
      </c>
      <c r="C25">
        <f>H6+H7</f>
        <v>93.8</v>
      </c>
      <c r="E25">
        <f>_xlfn.FORECAST.LINEAR(B25,D$24:D$26,B$24:B$26)</f>
        <v>50244.57142857142</v>
      </c>
      <c r="F25">
        <f>(E25/D$36)*F$36</f>
        <v>122.67308105839854</v>
      </c>
      <c r="G25">
        <f>(F25/F$36)*C$36</f>
        <v>123.65446570686574</v>
      </c>
      <c r="H25">
        <f>I6+I7</f>
        <v>123.65446570686575</v>
      </c>
    </row>
    <row r="26" spans="1:8" x14ac:dyDescent="0.25">
      <c r="B26">
        <v>1935</v>
      </c>
      <c r="C26">
        <f>H6+H7</f>
        <v>93.8</v>
      </c>
      <c r="D26">
        <f>sources_consumption!D18</f>
        <v>51428.571428571435</v>
      </c>
      <c r="F26">
        <f>(D26/D$36)*F$36</f>
        <v>125.56383967855371</v>
      </c>
      <c r="G26">
        <f>(F26/F$36)*C$36</f>
        <v>126.56835039598215</v>
      </c>
      <c r="H26">
        <f>I6+I7</f>
        <v>123.65446570686575</v>
      </c>
    </row>
    <row r="27" spans="1:8" x14ac:dyDescent="0.25">
      <c r="B27">
        <v>1945</v>
      </c>
      <c r="C27">
        <f>H8+H9</f>
        <v>55.68</v>
      </c>
      <c r="E27">
        <f>_xlfn.FORECAST.LINEAR(B27,D$26:D$31,B$26:B$31)</f>
        <v>49642.448979591834</v>
      </c>
      <c r="F27">
        <f>(E27/D$36)*F$36</f>
        <v>121.20298759574932</v>
      </c>
      <c r="G27">
        <f>(F27/F$36)*C$36</f>
        <v>122.17261149651533</v>
      </c>
      <c r="H27">
        <f>I8+I9</f>
        <v>97.86251361378514</v>
      </c>
    </row>
    <row r="28" spans="1:8" x14ac:dyDescent="0.25">
      <c r="B28">
        <v>1950</v>
      </c>
      <c r="C28">
        <f>H8+H9</f>
        <v>55.68</v>
      </c>
      <c r="E28">
        <f>_xlfn.FORECAST.LINEAR(B28,D$26:D$31,B$26:B$31)</f>
        <v>48749.387755102071</v>
      </c>
      <c r="F28">
        <f>(E28/D$36)*F$36</f>
        <v>119.02256155434723</v>
      </c>
      <c r="G28">
        <f>(F28/F$36)*C$36</f>
        <v>119.97474204678203</v>
      </c>
      <c r="H28">
        <f>I8+I9</f>
        <v>97.86251361378514</v>
      </c>
    </row>
    <row r="29" spans="1:8" x14ac:dyDescent="0.25">
      <c r="A29" t="s">
        <v>239</v>
      </c>
      <c r="B29" s="1">
        <v>1960</v>
      </c>
      <c r="C29">
        <f>H8+H9+H10</f>
        <v>65.760000000000005</v>
      </c>
      <c r="E29">
        <f>_xlfn.FORECAST.LINEAR(B29,D$26:D$31,B$26:B$31)</f>
        <v>46963.265306122485</v>
      </c>
      <c r="F29">
        <f>(E29/D$36)*F$36</f>
        <v>114.66170947154286</v>
      </c>
      <c r="G29">
        <f>(F29/F$36)*C$36</f>
        <v>115.57900314731522</v>
      </c>
      <c r="H29">
        <f>I8+I9+I10</f>
        <v>105.29045173426705</v>
      </c>
    </row>
    <row r="30" spans="1:8" x14ac:dyDescent="0.25">
      <c r="A30" t="s">
        <v>31</v>
      </c>
      <c r="B30" s="1">
        <v>1966</v>
      </c>
      <c r="C30">
        <f>H8+H9+H10+H11</f>
        <v>150.88</v>
      </c>
      <c r="E30">
        <f>_xlfn.FORECAST.LINEAR(B30,D$26:D$31,B$26:B$31)</f>
        <v>45891.591836734733</v>
      </c>
      <c r="F30">
        <f>(E30/D$36)*F$36</f>
        <v>112.04519822186026</v>
      </c>
      <c r="G30">
        <f>(F30/F$36)*C$36</f>
        <v>112.94155980763514</v>
      </c>
      <c r="H30">
        <f>I8+I9+I10+I11</f>
        <v>203.15406038952676</v>
      </c>
    </row>
    <row r="31" spans="1:8" x14ac:dyDescent="0.25">
      <c r="B31">
        <v>1970</v>
      </c>
      <c r="C31">
        <f>H8+H9+H10+H11</f>
        <v>150.88</v>
      </c>
      <c r="D31">
        <f>sources_consumption!D24</f>
        <v>45177.14285714287</v>
      </c>
      <c r="F31">
        <f>(D31/D$36)*F$36</f>
        <v>110.30085738873842</v>
      </c>
      <c r="G31">
        <f>(F31/F$36)*C$36</f>
        <v>111.18326424784834</v>
      </c>
      <c r="H31">
        <f>I8+I9+I10+I11</f>
        <v>203.15406038952676</v>
      </c>
    </row>
    <row r="32" spans="1:8" x14ac:dyDescent="0.25">
      <c r="A32" t="s">
        <v>29</v>
      </c>
      <c r="B32" s="1">
        <v>1975</v>
      </c>
      <c r="C32">
        <f>H10+H11</f>
        <v>95.2</v>
      </c>
      <c r="E32">
        <f>_xlfn.FORECAST.LINEAR(B32,D$31:D$36,B$31:B$36)</f>
        <v>44473.970163809601</v>
      </c>
      <c r="F32">
        <f>(E32/D$36)*F$36</f>
        <v>108.58404782394886</v>
      </c>
      <c r="G32">
        <f>(F32/F$36)*C$36</f>
        <v>109.45272020654046</v>
      </c>
      <c r="H32">
        <f>I10+I11</f>
        <v>105.29154677574164</v>
      </c>
    </row>
    <row r="33" spans="1:8" x14ac:dyDescent="0.25">
      <c r="B33">
        <v>1980</v>
      </c>
      <c r="C33">
        <f>H10+H11</f>
        <v>95.2</v>
      </c>
      <c r="E33">
        <f>_xlfn.FORECAST.LINEAR(B33,D$31:D$36,B$31:B$36)</f>
        <v>43770.797470476246</v>
      </c>
      <c r="F33">
        <f>(E33/D$36)*F$36</f>
        <v>106.86723825915907</v>
      </c>
      <c r="G33">
        <f>(F33/F$36)*C$36</f>
        <v>107.72217616523236</v>
      </c>
      <c r="H33">
        <f>I10+I11</f>
        <v>105.29154677574164</v>
      </c>
    </row>
    <row r="34" spans="1:8" x14ac:dyDescent="0.25">
      <c r="B34">
        <v>1982</v>
      </c>
      <c r="C34">
        <f>H11</f>
        <v>85.12</v>
      </c>
      <c r="E34">
        <f>_xlfn.FORECAST.LINEAR(B34,D$31:D$36,B$31:B$36)</f>
        <v>43489.528393142915</v>
      </c>
      <c r="F34">
        <f>(E34/D$36)*F$36</f>
        <v>106.18051443324319</v>
      </c>
      <c r="G34">
        <f>(F34/F$36)*C$36</f>
        <v>107.02995854870915</v>
      </c>
      <c r="H34">
        <f>I11</f>
        <v>97.863608655259725</v>
      </c>
    </row>
    <row r="35" spans="1:8" x14ac:dyDescent="0.25">
      <c r="A35" t="s">
        <v>30</v>
      </c>
      <c r="B35" s="1">
        <v>1998</v>
      </c>
      <c r="C35">
        <f>H12+H13</f>
        <v>100.80000000000001</v>
      </c>
      <c r="E35">
        <f>_xlfn.FORECAST.LINEAR(B35,D$31:D$36,B$31:B$36)</f>
        <v>41239.375774476212</v>
      </c>
      <c r="F35">
        <f>(E35/D$36)*F$36</f>
        <v>100.68672382591595</v>
      </c>
      <c r="G35">
        <f>(F35/F$36)*C$36</f>
        <v>101.49221761652329</v>
      </c>
      <c r="H35">
        <f>I12+I13</f>
        <v>101.26147841101553</v>
      </c>
    </row>
    <row r="36" spans="1:8" x14ac:dyDescent="0.25">
      <c r="A36" t="s">
        <v>151</v>
      </c>
      <c r="B36">
        <v>2000</v>
      </c>
      <c r="C36">
        <f>H12+H13</f>
        <v>100.80000000000001</v>
      </c>
      <c r="D36">
        <f>sources_consumption!D31</f>
        <v>40958.106697142859</v>
      </c>
      <c r="F36">
        <v>100</v>
      </c>
      <c r="G36">
        <f>(F36/F$36)*C$36</f>
        <v>100.80000000000001</v>
      </c>
      <c r="H36">
        <f>I11+I13</f>
        <v>165.52508706627526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99CC1-8545-4DEA-B454-5C9D10DEA9DB}">
  <dimension ref="A1:I29"/>
  <sheetViews>
    <sheetView workbookViewId="0">
      <selection activeCell="J18" sqref="J18"/>
    </sheetView>
  </sheetViews>
  <sheetFormatPr defaultRowHeight="15" x14ac:dyDescent="0.25"/>
  <cols>
    <col min="1" max="1" width="22.42578125" customWidth="1"/>
    <col min="3" max="3" width="16.42578125" customWidth="1"/>
    <col min="4" max="4" width="18.85546875" customWidth="1"/>
    <col min="5" max="5" width="20.28515625" customWidth="1"/>
    <col min="6" max="6" width="17.85546875" customWidth="1"/>
    <col min="7" max="7" width="18.7109375" customWidth="1"/>
    <col min="8" max="8" width="16.140625" customWidth="1"/>
  </cols>
  <sheetData>
    <row r="1" spans="1:9" x14ac:dyDescent="0.25">
      <c r="A1" s="1" t="s">
        <v>12</v>
      </c>
      <c r="B1" s="1" t="s">
        <v>13</v>
      </c>
      <c r="C1" s="1" t="s">
        <v>14</v>
      </c>
      <c r="D1" s="1" t="s">
        <v>15</v>
      </c>
      <c r="E1" s="1" t="s">
        <v>17</v>
      </c>
      <c r="F1" s="1" t="s">
        <v>18</v>
      </c>
      <c r="G1" s="1" t="s">
        <v>19</v>
      </c>
      <c r="H1" s="1" t="s">
        <v>20</v>
      </c>
      <c r="I1" s="1" t="s">
        <v>108</v>
      </c>
    </row>
    <row r="2" spans="1:9" x14ac:dyDescent="0.25">
      <c r="A2" t="s">
        <v>78</v>
      </c>
      <c r="B2">
        <v>1750</v>
      </c>
      <c r="C2">
        <v>1840</v>
      </c>
      <c r="D2">
        <f xml:space="preserve"> (B2+C2)/2</f>
        <v>1795</v>
      </c>
      <c r="E2">
        <v>42</v>
      </c>
      <c r="F2">
        <v>5</v>
      </c>
      <c r="G2">
        <v>100</v>
      </c>
      <c r="H2">
        <f xml:space="preserve"> E2*F2*G2/100</f>
        <v>210</v>
      </c>
      <c r="I2">
        <f>(G13/C13)*H2</f>
        <v>48.818825999999994</v>
      </c>
    </row>
    <row r="3" spans="1:9" x14ac:dyDescent="0.25">
      <c r="A3" t="s">
        <v>79</v>
      </c>
      <c r="B3">
        <v>1841</v>
      </c>
      <c r="C3">
        <v>1910</v>
      </c>
      <c r="D3">
        <f t="shared" ref="D3:D5" si="0" xml:space="preserve"> (B3+C3)/2</f>
        <v>1875.5</v>
      </c>
      <c r="E3">
        <v>21</v>
      </c>
      <c r="F3">
        <v>10</v>
      </c>
      <c r="G3">
        <v>100</v>
      </c>
      <c r="H3">
        <f t="shared" ref="H3:H5" si="1" xml:space="preserve"> E3*F3*G3/100</f>
        <v>210</v>
      </c>
      <c r="I3">
        <f>(G16/C16)*H3</f>
        <v>88.6875374318181</v>
      </c>
    </row>
    <row r="4" spans="1:9" x14ac:dyDescent="0.25">
      <c r="A4" t="s">
        <v>80</v>
      </c>
      <c r="B4">
        <v>1911</v>
      </c>
      <c r="C4">
        <v>1945</v>
      </c>
      <c r="D4">
        <f t="shared" si="0"/>
        <v>1928</v>
      </c>
      <c r="E4">
        <v>15</v>
      </c>
      <c r="F4">
        <v>15</v>
      </c>
      <c r="G4">
        <v>100</v>
      </c>
      <c r="H4">
        <f t="shared" si="1"/>
        <v>225</v>
      </c>
      <c r="I4">
        <f>(G19/C19)*H4</f>
        <v>156.03427587272731</v>
      </c>
    </row>
    <row r="5" spans="1:9" x14ac:dyDescent="0.25">
      <c r="A5" t="s">
        <v>31</v>
      </c>
      <c r="B5">
        <v>1950</v>
      </c>
      <c r="C5">
        <v>1975</v>
      </c>
      <c r="D5">
        <f t="shared" si="0"/>
        <v>1962.5</v>
      </c>
      <c r="E5">
        <f>dist_calculations!E22</f>
        <v>8</v>
      </c>
      <c r="F5">
        <v>7</v>
      </c>
      <c r="G5">
        <v>14</v>
      </c>
      <c r="H5">
        <f t="shared" si="1"/>
        <v>7.84</v>
      </c>
      <c r="I5">
        <f>(G23/C23)*H5</f>
        <v>20.692731192578865</v>
      </c>
    </row>
    <row r="6" spans="1:9" x14ac:dyDescent="0.25">
      <c r="A6" t="s">
        <v>29</v>
      </c>
      <c r="B6">
        <v>1960</v>
      </c>
      <c r="C6">
        <v>1990</v>
      </c>
      <c r="D6">
        <f xml:space="preserve"> (B6+C6)/2</f>
        <v>1975</v>
      </c>
      <c r="E6">
        <f>dist_calculations!E$24</f>
        <v>38</v>
      </c>
      <c r="F6">
        <v>14</v>
      </c>
      <c r="G6">
        <v>14</v>
      </c>
      <c r="H6">
        <f xml:space="preserve"> E6*F6*G6/100</f>
        <v>74.48</v>
      </c>
      <c r="I6">
        <f>(G25/C25)*H6</f>
        <v>217.80308820767104</v>
      </c>
    </row>
    <row r="7" spans="1:9" x14ac:dyDescent="0.25">
      <c r="A7" t="s">
        <v>156</v>
      </c>
      <c r="B7">
        <v>1975</v>
      </c>
      <c r="C7">
        <v>2010</v>
      </c>
      <c r="D7">
        <f xml:space="preserve"> (B7+C7)/2</f>
        <v>1992.5</v>
      </c>
      <c r="E7">
        <v>2</v>
      </c>
      <c r="F7">
        <v>8</v>
      </c>
      <c r="G7">
        <v>18</v>
      </c>
      <c r="H7">
        <f xml:space="preserve"> E7*F7*G7/100</f>
        <v>2.88</v>
      </c>
      <c r="I7">
        <f>(G27/C27)*H7</f>
        <v>3.0898640683461114</v>
      </c>
    </row>
    <row r="8" spans="1:9" x14ac:dyDescent="0.25">
      <c r="A8" t="s">
        <v>151</v>
      </c>
      <c r="B8">
        <v>1990</v>
      </c>
      <c r="C8">
        <v>2010</v>
      </c>
      <c r="D8">
        <f t="shared" ref="D8" si="2" xml:space="preserve"> (B8+C8)/2</f>
        <v>2000</v>
      </c>
      <c r="E8">
        <f>dist_calculations!E28</f>
        <v>15</v>
      </c>
      <c r="F8">
        <f>42/3</f>
        <v>14</v>
      </c>
      <c r="G8">
        <v>28</v>
      </c>
      <c r="H8">
        <f xml:space="preserve"> E8*F8*G8/100</f>
        <v>58.8</v>
      </c>
      <c r="I8">
        <f>(G29/C29)*H8</f>
        <v>58.8</v>
      </c>
    </row>
    <row r="9" spans="1:9" x14ac:dyDescent="0.25">
      <c r="A9" t="s">
        <v>30</v>
      </c>
      <c r="B9">
        <v>1985</v>
      </c>
      <c r="C9">
        <v>2010</v>
      </c>
      <c r="D9">
        <f xml:space="preserve"> (B9+C9)/2</f>
        <v>1997.5</v>
      </c>
      <c r="E9">
        <f>dist_calculations!E29</f>
        <v>10</v>
      </c>
      <c r="F9">
        <v>42</v>
      </c>
      <c r="G9">
        <v>28</v>
      </c>
      <c r="H9">
        <f xml:space="preserve"> E9*F9*G9/100</f>
        <v>117.6</v>
      </c>
      <c r="I9">
        <f>(G28/C28)*H9</f>
        <v>120.25733970909073</v>
      </c>
    </row>
    <row r="10" spans="1:9" x14ac:dyDescent="0.25">
      <c r="B10" s="1" t="s">
        <v>28</v>
      </c>
    </row>
    <row r="11" spans="1:9" x14ac:dyDescent="0.25">
      <c r="B11" s="1" t="s">
        <v>0</v>
      </c>
      <c r="C11" s="1" t="s">
        <v>117</v>
      </c>
      <c r="D11" s="1" t="s">
        <v>38</v>
      </c>
      <c r="E11" s="1" t="s">
        <v>39</v>
      </c>
      <c r="F11" s="1" t="s">
        <v>40</v>
      </c>
      <c r="G11" s="1" t="s">
        <v>41</v>
      </c>
      <c r="H11" s="1" t="s">
        <v>109</v>
      </c>
    </row>
    <row r="12" spans="1:9" x14ac:dyDescent="0.25">
      <c r="B12">
        <v>1750</v>
      </c>
      <c r="C12">
        <f>H2</f>
        <v>210</v>
      </c>
      <c r="H12">
        <f>I2</f>
        <v>48.818825999999994</v>
      </c>
    </row>
    <row r="13" spans="1:9" x14ac:dyDescent="0.25">
      <c r="B13" s="1">
        <v>1800</v>
      </c>
      <c r="C13">
        <f>H2</f>
        <v>210</v>
      </c>
      <c r="D13">
        <f>sources_consumption!D6</f>
        <v>681.91376000000002</v>
      </c>
      <c r="F13">
        <f>(D13/D$29)*F$29</f>
        <v>27.675071428571428</v>
      </c>
      <c r="G13">
        <f>(F13/F$29)*C$29</f>
        <v>48.818825999999994</v>
      </c>
      <c r="H13">
        <f>I2</f>
        <v>48.818825999999994</v>
      </c>
    </row>
    <row r="14" spans="1:9" x14ac:dyDescent="0.25">
      <c r="B14">
        <v>1820</v>
      </c>
      <c r="C14">
        <f>H2</f>
        <v>210</v>
      </c>
      <c r="E14">
        <f>_xlfn.FORECAST.LINEAR(B14,D$13:D$15,B$13:B$15)</f>
        <v>609.17628800000057</v>
      </c>
      <c r="F14">
        <f>(E14/D$29)*F$29</f>
        <v>24.723063636363658</v>
      </c>
      <c r="G14">
        <f>(F14/F$29)*C$29</f>
        <v>43.611484254545488</v>
      </c>
      <c r="H14">
        <f>I2</f>
        <v>48.818825999999994</v>
      </c>
    </row>
    <row r="15" spans="1:9" x14ac:dyDescent="0.25">
      <c r="B15">
        <v>1850</v>
      </c>
      <c r="D15">
        <f>sources_consumption!D7</f>
        <v>500.07007999999996</v>
      </c>
      <c r="F15">
        <f>(D15/D$29)*F$29</f>
        <v>20.295051948051945</v>
      </c>
      <c r="G15">
        <f>(F15/F$29)*C$29</f>
        <v>35.800471636363625</v>
      </c>
      <c r="H15">
        <f>I3</f>
        <v>88.6875374318181</v>
      </c>
    </row>
    <row r="16" spans="1:9" x14ac:dyDescent="0.25">
      <c r="B16" s="1">
        <v>1875</v>
      </c>
      <c r="C16">
        <f>H3</f>
        <v>210</v>
      </c>
      <c r="E16">
        <f>_xlfn.FORECAST.LINEAR(B16,D$15:D$18,B$15:B$18)</f>
        <v>1238.8100466666656</v>
      </c>
      <c r="F16">
        <f>(E16/D$29)*F$29</f>
        <v>50.276381764069221</v>
      </c>
      <c r="G16">
        <f>(F16/F$29)*C$29</f>
        <v>88.6875374318181</v>
      </c>
      <c r="H16">
        <f>I3</f>
        <v>88.6875374318181</v>
      </c>
    </row>
    <row r="17" spans="2:8" x14ac:dyDescent="0.25">
      <c r="B17">
        <v>1900</v>
      </c>
      <c r="C17">
        <f>H3</f>
        <v>210</v>
      </c>
      <c r="E17">
        <f>_xlfn.FORECAST.LINEAR(B17,D$15:D$18,B$15:B$18)</f>
        <v>1977.5500133333335</v>
      </c>
      <c r="F17">
        <f>(E17/D$29)*F$29</f>
        <v>80.257711580086593</v>
      </c>
      <c r="G17">
        <f>(F17/F$29)*C$29</f>
        <v>141.57460322727272</v>
      </c>
      <c r="H17">
        <f>I3</f>
        <v>88.6875374318181</v>
      </c>
    </row>
    <row r="18" spans="2:8" x14ac:dyDescent="0.25">
      <c r="B18">
        <v>1910</v>
      </c>
      <c r="C18">
        <f>H4</f>
        <v>225</v>
      </c>
      <c r="D18">
        <f>sources_consumption!D17</f>
        <v>2273.0459999999998</v>
      </c>
      <c r="F18">
        <f>(D18/D$29)*F$29</f>
        <v>92.250243506493504</v>
      </c>
      <c r="G18">
        <f>(F18/F$29)*C$29</f>
        <v>162.72942954545451</v>
      </c>
      <c r="H18">
        <f>I4</f>
        <v>156.03427587272731</v>
      </c>
    </row>
    <row r="19" spans="2:8" x14ac:dyDescent="0.25">
      <c r="B19" s="1">
        <v>1928</v>
      </c>
      <c r="C19">
        <f>H4</f>
        <v>225</v>
      </c>
      <c r="E19">
        <f>_xlfn.FORECAST.LINEAR(B19,D$18:D$20,B$18:B$20)</f>
        <v>2179.5263931428581</v>
      </c>
      <c r="F19">
        <f>(E19/D$29)*F$29</f>
        <v>88.454804916512103</v>
      </c>
      <c r="G19">
        <f>(F19/F$29)*C$29</f>
        <v>156.03427587272731</v>
      </c>
      <c r="H19">
        <f>I4</f>
        <v>156.03427587272731</v>
      </c>
    </row>
    <row r="20" spans="2:8" x14ac:dyDescent="0.25">
      <c r="B20">
        <v>1935</v>
      </c>
      <c r="C20">
        <f>H4</f>
        <v>225</v>
      </c>
      <c r="D20">
        <f>sources_consumption!D23</f>
        <v>2143.1576571428573</v>
      </c>
      <c r="F20">
        <f>(D20/D$29)*F$29</f>
        <v>86.97880102040817</v>
      </c>
      <c r="G20">
        <f>(F20/F$29)*C$29</f>
        <v>153.43060499999999</v>
      </c>
      <c r="H20">
        <f>I4</f>
        <v>156.03427587272731</v>
      </c>
    </row>
    <row r="21" spans="2:8" x14ac:dyDescent="0.25">
      <c r="B21">
        <v>1945</v>
      </c>
      <c r="C21">
        <f>H4</f>
        <v>225</v>
      </c>
      <c r="E21">
        <f>_xlfn.FORECAST.LINEAR(B21,D$20:D$24,B$20:B$24)</f>
        <v>2473.4451575510175</v>
      </c>
      <c r="F21">
        <f>(E21/D$29)*F$29</f>
        <v>100.38332619931079</v>
      </c>
      <c r="G21">
        <f>(F21/F$29)*C$29</f>
        <v>177.0761874155842</v>
      </c>
      <c r="H21">
        <f>I4</f>
        <v>156.03427587272731</v>
      </c>
    </row>
    <row r="22" spans="2:8" x14ac:dyDescent="0.25">
      <c r="B22">
        <v>1960</v>
      </c>
      <c r="C22">
        <f>H6+H5</f>
        <v>82.320000000000007</v>
      </c>
      <c r="E22">
        <f>_xlfn.FORECAST.LINEAR(B22,D$20:D$24,B$20:B$24)</f>
        <v>2968.8764081632617</v>
      </c>
      <c r="F22">
        <f>(E22/D$29)*F$29</f>
        <v>120.49011396766485</v>
      </c>
      <c r="G22">
        <f>(F22/F$29)*C$29</f>
        <v>212.54456103896075</v>
      </c>
      <c r="H22">
        <f>I5+I6</f>
        <v>238.4958194002499</v>
      </c>
    </row>
    <row r="23" spans="2:8" x14ac:dyDescent="0.25">
      <c r="B23" s="1">
        <v>1962</v>
      </c>
      <c r="C23">
        <f>H6+H5</f>
        <v>82.320000000000007</v>
      </c>
      <c r="E23">
        <f>_xlfn.FORECAST.LINEAR(B23,D$20:D$24,B$20:B$24)</f>
        <v>3034.9339082449005</v>
      </c>
      <c r="F23">
        <f>(E23/D$29)*F$29</f>
        <v>123.17101900344565</v>
      </c>
      <c r="G23">
        <f>(F23/F$29)*C$29</f>
        <v>217.27367752207809</v>
      </c>
      <c r="H23">
        <f>I5+I6</f>
        <v>238.4958194002499</v>
      </c>
    </row>
    <row r="24" spans="2:8" x14ac:dyDescent="0.25">
      <c r="B24">
        <v>1970</v>
      </c>
      <c r="C24">
        <f>H6</f>
        <v>74.48</v>
      </c>
      <c r="D24">
        <f>sources_consumption!D29</f>
        <v>3299.1639085714291</v>
      </c>
      <c r="F24">
        <f>(D24/D$29)*F$29</f>
        <v>133.89463914656773</v>
      </c>
      <c r="G24">
        <f>(F24/F$29)*C$29</f>
        <v>236.19014345454542</v>
      </c>
      <c r="H24">
        <f>I5+I6</f>
        <v>238.4958194002499</v>
      </c>
    </row>
    <row r="25" spans="2:8" x14ac:dyDescent="0.25">
      <c r="B25" s="1">
        <v>1975</v>
      </c>
      <c r="C25">
        <f>H6+H7</f>
        <v>77.36</v>
      </c>
      <c r="E25">
        <f>_xlfn.FORECAST.LINEAR(B25,D$24:D$29,B$24:B$29)</f>
        <v>3159.96992380952</v>
      </c>
      <c r="F25">
        <f>(E25/D$29)*F$29</f>
        <v>128.24553262213959</v>
      </c>
      <c r="G25">
        <f>(F25/F$29)*C$29</f>
        <v>226.22511954545422</v>
      </c>
      <c r="H25">
        <f>I6</f>
        <v>217.80308820767104</v>
      </c>
    </row>
    <row r="26" spans="2:8" x14ac:dyDescent="0.25">
      <c r="B26">
        <v>1985</v>
      </c>
      <c r="C26">
        <f>H6+H9</f>
        <v>192.07999999999998</v>
      </c>
      <c r="E26">
        <f>_xlfn.FORECAST.LINEAR(B26,D$24:D$29,B$24:B$29)</f>
        <v>2881.5819542857134</v>
      </c>
      <c r="F26">
        <f>(E26/D$29)*F$29</f>
        <v>116.94731957328382</v>
      </c>
      <c r="G26">
        <f>(F26/F$29)*C$29</f>
        <v>206.29507172727261</v>
      </c>
      <c r="H26">
        <f>I6+I9</f>
        <v>338.0604279167618</v>
      </c>
    </row>
    <row r="27" spans="2:8" x14ac:dyDescent="0.25">
      <c r="B27" s="1">
        <v>1992</v>
      </c>
      <c r="C27">
        <f>H7+H8+H9</f>
        <v>179.28</v>
      </c>
      <c r="E27">
        <f>_xlfn.FORECAST.LINEAR(B27,D$24:D$29,B$24:B$29)</f>
        <v>2686.7103756190481</v>
      </c>
      <c r="F27">
        <f>(E27/D$29)*F$29</f>
        <v>109.03857043908474</v>
      </c>
      <c r="G27">
        <f>(F27/F$29)*C$29</f>
        <v>192.34403825454544</v>
      </c>
      <c r="H27">
        <f>I7+I8+I9</f>
        <v>182.14720377743683</v>
      </c>
    </row>
    <row r="28" spans="2:8" x14ac:dyDescent="0.25">
      <c r="B28" s="1">
        <v>1998</v>
      </c>
      <c r="C28">
        <f>H8+H9</f>
        <v>176.39999999999998</v>
      </c>
      <c r="E28">
        <f>_xlfn.FORECAST.LINEAR(B28,D$24:D$29,B$24:B$29)</f>
        <v>2519.6775939047584</v>
      </c>
      <c r="F28">
        <f>(E28/D$29)*F$29</f>
        <v>102.25964260977103</v>
      </c>
      <c r="G28">
        <f>(F28/F$29)*C$29</f>
        <v>180.38600956363607</v>
      </c>
      <c r="H28">
        <f>I8+I9</f>
        <v>179.05733970909074</v>
      </c>
    </row>
    <row r="29" spans="2:8" x14ac:dyDescent="0.25">
      <c r="B29" s="1">
        <v>2000</v>
      </c>
      <c r="C29">
        <f>H8+H9</f>
        <v>176.39999999999998</v>
      </c>
      <c r="D29">
        <f>sources_consumption!D36</f>
        <v>2464</v>
      </c>
      <c r="F29">
        <v>100</v>
      </c>
      <c r="G29">
        <f>(F29/F$29)*C$29</f>
        <v>176.39999999999998</v>
      </c>
      <c r="H29">
        <f>I8+I9</f>
        <v>179.05733970909074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E41EE-A77B-4862-8A6B-F95E97843B66}">
  <dimension ref="A1:I39"/>
  <sheetViews>
    <sheetView topLeftCell="A13" workbookViewId="0">
      <selection activeCell="G2" sqref="G2"/>
    </sheetView>
  </sheetViews>
  <sheetFormatPr defaultRowHeight="15" x14ac:dyDescent="0.25"/>
  <cols>
    <col min="1" max="1" width="16.7109375" customWidth="1"/>
    <col min="2" max="2" width="9.7109375" customWidth="1"/>
    <col min="3" max="3" width="24.7109375" customWidth="1"/>
    <col min="4" max="4" width="19.140625" customWidth="1"/>
    <col min="5" max="5" width="21.42578125" customWidth="1"/>
    <col min="6" max="6" width="17.85546875" customWidth="1"/>
    <col min="7" max="7" width="18.140625" customWidth="1"/>
    <col min="8" max="8" width="16.5703125" customWidth="1"/>
  </cols>
  <sheetData>
    <row r="1" spans="1:9" x14ac:dyDescent="0.25">
      <c r="A1" s="1" t="s">
        <v>12</v>
      </c>
      <c r="B1" s="1" t="s">
        <v>13</v>
      </c>
      <c r="C1" s="1" t="s">
        <v>14</v>
      </c>
      <c r="D1" s="1" t="s">
        <v>15</v>
      </c>
      <c r="E1" s="1" t="s">
        <v>17</v>
      </c>
      <c r="F1" s="1" t="s">
        <v>18</v>
      </c>
      <c r="G1" s="1" t="s">
        <v>19</v>
      </c>
      <c r="H1" s="1" t="s">
        <v>20</v>
      </c>
      <c r="I1" s="1" t="s">
        <v>108</v>
      </c>
    </row>
    <row r="2" spans="1:9" x14ac:dyDescent="0.25">
      <c r="A2" t="s">
        <v>16</v>
      </c>
      <c r="B2">
        <v>1750</v>
      </c>
      <c r="C2">
        <v>1840</v>
      </c>
      <c r="D2">
        <f xml:space="preserve"> (B2+C2)/2</f>
        <v>1795</v>
      </c>
      <c r="E2">
        <v>75</v>
      </c>
      <c r="F2">
        <v>4</v>
      </c>
      <c r="G2">
        <v>5</v>
      </c>
      <c r="H2">
        <f xml:space="preserve"> E2*F2*G2/100</f>
        <v>15</v>
      </c>
      <c r="I2">
        <f>(G18/C18)*H2</f>
        <v>197.66064034529006</v>
      </c>
    </row>
    <row r="3" spans="1:9" x14ac:dyDescent="0.25">
      <c r="A3" t="s">
        <v>49</v>
      </c>
      <c r="B3">
        <v>1818</v>
      </c>
      <c r="C3">
        <v>1840</v>
      </c>
      <c r="D3">
        <f t="shared" ref="D3:D13" si="0" xml:space="preserve"> (B3+C3)/2</f>
        <v>1829</v>
      </c>
      <c r="E3">
        <v>27</v>
      </c>
      <c r="F3">
        <v>2</v>
      </c>
      <c r="G3">
        <v>100</v>
      </c>
      <c r="H3">
        <f t="shared" ref="H3:H13" si="1" xml:space="preserve"> E3*F3*G3/100</f>
        <v>54</v>
      </c>
      <c r="I3">
        <f>((G20)/H3)*H3</f>
        <v>242.47904135381546</v>
      </c>
    </row>
    <row r="4" spans="1:9" x14ac:dyDescent="0.25">
      <c r="A4" t="s">
        <v>22</v>
      </c>
      <c r="B4">
        <v>1841</v>
      </c>
      <c r="C4">
        <v>1910</v>
      </c>
      <c r="D4">
        <f t="shared" si="0"/>
        <v>1875.5</v>
      </c>
      <c r="E4">
        <v>45</v>
      </c>
      <c r="F4">
        <v>8</v>
      </c>
      <c r="G4">
        <v>5</v>
      </c>
      <c r="H4">
        <f t="shared" si="1"/>
        <v>18</v>
      </c>
      <c r="I4">
        <f>(G23/C23)*H4</f>
        <v>36.436075631365064</v>
      </c>
    </row>
    <row r="5" spans="1:9" x14ac:dyDescent="0.25">
      <c r="A5" t="s">
        <v>50</v>
      </c>
      <c r="B5">
        <v>1841</v>
      </c>
      <c r="C5">
        <v>1910</v>
      </c>
      <c r="D5">
        <f t="shared" si="0"/>
        <v>1875.5</v>
      </c>
      <c r="E5">
        <v>27</v>
      </c>
      <c r="F5">
        <v>5</v>
      </c>
      <c r="G5">
        <v>100</v>
      </c>
      <c r="H5">
        <f t="shared" si="1"/>
        <v>135</v>
      </c>
      <c r="I5">
        <f>(G23/C23)*H5</f>
        <v>273.27056723523793</v>
      </c>
    </row>
    <row r="6" spans="1:9" x14ac:dyDescent="0.25">
      <c r="A6" t="s">
        <v>26</v>
      </c>
      <c r="B6">
        <v>1911</v>
      </c>
      <c r="C6">
        <v>1945</v>
      </c>
      <c r="D6">
        <f t="shared" si="0"/>
        <v>1928</v>
      </c>
      <c r="E6">
        <v>10</v>
      </c>
      <c r="F6">
        <v>8</v>
      </c>
      <c r="G6">
        <v>5</v>
      </c>
      <c r="H6">
        <f t="shared" si="1"/>
        <v>4</v>
      </c>
      <c r="I6">
        <f>(G27/C27)*H6</f>
        <v>7.2688937940497906</v>
      </c>
    </row>
    <row r="7" spans="1:9" x14ac:dyDescent="0.25">
      <c r="A7" t="s">
        <v>51</v>
      </c>
      <c r="B7">
        <v>1911</v>
      </c>
      <c r="C7">
        <v>1945</v>
      </c>
      <c r="D7">
        <f xml:space="preserve"> (B7+C7)/2</f>
        <v>1928</v>
      </c>
      <c r="E7">
        <v>21</v>
      </c>
      <c r="F7">
        <v>10</v>
      </c>
      <c r="G7">
        <v>100</v>
      </c>
      <c r="H7">
        <f t="shared" si="1"/>
        <v>210</v>
      </c>
      <c r="I7">
        <f>(G27/C27)*H7</f>
        <v>381.61692418761402</v>
      </c>
    </row>
    <row r="8" spans="1:9" x14ac:dyDescent="0.25">
      <c r="A8" t="s">
        <v>27</v>
      </c>
      <c r="B8">
        <v>1946</v>
      </c>
      <c r="C8">
        <v>1975</v>
      </c>
      <c r="D8">
        <f t="shared" si="0"/>
        <v>1960.5</v>
      </c>
      <c r="E8">
        <v>4</v>
      </c>
      <c r="F8">
        <v>12</v>
      </c>
      <c r="G8">
        <v>5</v>
      </c>
      <c r="H8">
        <f t="shared" si="1"/>
        <v>2.4</v>
      </c>
      <c r="I8">
        <f>(G31/C31)*H8</f>
        <v>2.8810030043836643</v>
      </c>
    </row>
    <row r="9" spans="1:9" x14ac:dyDescent="0.25">
      <c r="A9" t="s">
        <v>52</v>
      </c>
      <c r="B9">
        <v>1946</v>
      </c>
      <c r="C9">
        <v>2010</v>
      </c>
      <c r="D9">
        <f t="shared" si="0"/>
        <v>1978</v>
      </c>
      <c r="E9">
        <v>12</v>
      </c>
      <c r="F9">
        <v>15</v>
      </c>
      <c r="G9">
        <v>100</v>
      </c>
      <c r="H9">
        <f t="shared" si="1"/>
        <v>180</v>
      </c>
      <c r="I9">
        <f>(G35/C35)*H9</f>
        <v>172.24998683386315</v>
      </c>
    </row>
    <row r="10" spans="1:9" x14ac:dyDescent="0.25">
      <c r="A10" t="s">
        <v>31</v>
      </c>
      <c r="B10">
        <v>1950</v>
      </c>
      <c r="C10">
        <v>1982</v>
      </c>
      <c r="D10">
        <f t="shared" si="0"/>
        <v>1966</v>
      </c>
      <c r="E10">
        <v>9</v>
      </c>
      <c r="F10">
        <v>7</v>
      </c>
      <c r="G10">
        <v>5</v>
      </c>
      <c r="H10">
        <f t="shared" si="1"/>
        <v>3.15</v>
      </c>
      <c r="I10">
        <f>(G32/C32)*H10</f>
        <v>3.2657654825778981</v>
      </c>
    </row>
    <row r="11" spans="1:9" x14ac:dyDescent="0.25">
      <c r="A11" t="s">
        <v>29</v>
      </c>
      <c r="B11">
        <v>1960</v>
      </c>
      <c r="C11">
        <v>1990</v>
      </c>
      <c r="D11">
        <f t="shared" si="0"/>
        <v>1975</v>
      </c>
      <c r="E11">
        <f>dist_calculations!E$24</f>
        <v>38</v>
      </c>
      <c r="F11">
        <v>14</v>
      </c>
      <c r="G11">
        <v>5</v>
      </c>
      <c r="H11">
        <f t="shared" si="1"/>
        <v>26.6</v>
      </c>
      <c r="I11">
        <f>(G34/C34)*H11</f>
        <v>25.268282468352005</v>
      </c>
    </row>
    <row r="12" spans="1:9" x14ac:dyDescent="0.25">
      <c r="A12" t="s">
        <v>151</v>
      </c>
      <c r="B12">
        <v>1990</v>
      </c>
      <c r="C12">
        <v>2010</v>
      </c>
      <c r="D12">
        <f t="shared" si="0"/>
        <v>2000</v>
      </c>
      <c r="E12">
        <f>dist_calculations!E$28</f>
        <v>15</v>
      </c>
      <c r="F12">
        <f>42/3</f>
        <v>14</v>
      </c>
      <c r="G12">
        <v>5</v>
      </c>
      <c r="H12">
        <f t="shared" si="1"/>
        <v>10.5</v>
      </c>
      <c r="I12">
        <f>(G39/C39)*H12</f>
        <v>10.5</v>
      </c>
    </row>
    <row r="13" spans="1:9" x14ac:dyDescent="0.25">
      <c r="A13" t="s">
        <v>30</v>
      </c>
      <c r="B13">
        <v>1985</v>
      </c>
      <c r="C13">
        <v>2010</v>
      </c>
      <c r="D13">
        <f t="shared" si="0"/>
        <v>1997.5</v>
      </c>
      <c r="E13">
        <f>dist_calculations!E$29</f>
        <v>10</v>
      </c>
      <c r="F13">
        <v>42</v>
      </c>
      <c r="G13">
        <v>5</v>
      </c>
      <c r="H13">
        <f t="shared" si="1"/>
        <v>21</v>
      </c>
      <c r="I13">
        <f>(G38/C38)*H13</f>
        <v>20.902686748111041</v>
      </c>
    </row>
    <row r="15" spans="1:9" x14ac:dyDescent="0.25">
      <c r="B15" s="10" t="s">
        <v>28</v>
      </c>
      <c r="C15" s="10"/>
      <c r="D15" s="10"/>
      <c r="E15" s="10"/>
      <c r="F15" s="10"/>
      <c r="G15" s="10"/>
    </row>
    <row r="16" spans="1:9" x14ac:dyDescent="0.25">
      <c r="B16" s="1" t="s">
        <v>0</v>
      </c>
      <c r="C16" s="1" t="s">
        <v>37</v>
      </c>
      <c r="D16" s="1" t="s">
        <v>38</v>
      </c>
      <c r="E16" s="1" t="s">
        <v>39</v>
      </c>
      <c r="F16" s="1" t="s">
        <v>40</v>
      </c>
      <c r="G16" s="1" t="s">
        <v>41</v>
      </c>
      <c r="H16" s="1" t="s">
        <v>109</v>
      </c>
    </row>
    <row r="17" spans="2:8" x14ac:dyDescent="0.25">
      <c r="B17">
        <v>1750</v>
      </c>
      <c r="C17">
        <f>H2</f>
        <v>15</v>
      </c>
      <c r="E17">
        <f>_xlfn.FORECAST.LINEAR(B17,D$25:D$28,B$25:B$28)</f>
        <v>3820.3128258602665</v>
      </c>
      <c r="F17">
        <f>(E17/D$39)*100</f>
        <v>58.138678643537325</v>
      </c>
      <c r="G17">
        <f>(F17/F$39)*C$39</f>
        <v>122.96330533108144</v>
      </c>
    </row>
    <row r="18" spans="2:8" x14ac:dyDescent="0.25">
      <c r="B18" s="1">
        <v>1800</v>
      </c>
      <c r="C18">
        <f>H2</f>
        <v>15</v>
      </c>
      <c r="E18">
        <f>_xlfn.FORECAST.LINEAR(B18,D$25:D$28,B$25:B$28)</f>
        <v>6141.0636079249234</v>
      </c>
      <c r="F18">
        <f>(E18/D$39)*100</f>
        <v>93.456567539144245</v>
      </c>
      <c r="G18">
        <f>(F18/F$39)*C$39</f>
        <v>197.66064034529006</v>
      </c>
      <c r="H18">
        <f>I2</f>
        <v>197.66064034529006</v>
      </c>
    </row>
    <row r="19" spans="2:8" x14ac:dyDescent="0.25">
      <c r="B19">
        <v>1818</v>
      </c>
      <c r="C19">
        <f>H2+H3</f>
        <v>69</v>
      </c>
      <c r="E19">
        <f>_xlfn.FORECAST.LINEAR(B19,D$25:D$28,B$25:B$28)</f>
        <v>6976.5338894682063</v>
      </c>
      <c r="F19">
        <f>(E19/D$39)*100</f>
        <v>106.17100754156283</v>
      </c>
      <c r="G19">
        <f>(F19/F$39)*C$39</f>
        <v>224.5516809504054</v>
      </c>
    </row>
    <row r="20" spans="2:8" x14ac:dyDescent="0.25">
      <c r="B20" s="1">
        <v>1830</v>
      </c>
      <c r="C20">
        <f>H2+H3</f>
        <v>69</v>
      </c>
      <c r="E20">
        <f>_xlfn.FORECAST.LINEAR(B20,D$25:D$28,B$25:B$28)</f>
        <v>7533.5140771637234</v>
      </c>
      <c r="F20">
        <f>(E20/D$39)*100</f>
        <v>114.64730087650847</v>
      </c>
      <c r="G20">
        <f>(F20/F$39)*C$39</f>
        <v>242.47904135381543</v>
      </c>
      <c r="H20">
        <f>I2+I3</f>
        <v>440.13968169910549</v>
      </c>
    </row>
    <row r="21" spans="2:8" x14ac:dyDescent="0.25">
      <c r="B21">
        <v>1840</v>
      </c>
      <c r="C21">
        <f>H2+H3</f>
        <v>69</v>
      </c>
      <c r="E21">
        <f>_xlfn.FORECAST.LINEAR(B21,D$25:D$28,B$25:B$28)</f>
        <v>7997.6642335766519</v>
      </c>
      <c r="F21">
        <f>(E21/D$39)*100</f>
        <v>121.71087865562981</v>
      </c>
      <c r="G21">
        <f>(F21/F$39)*C$39</f>
        <v>257.41850835665707</v>
      </c>
    </row>
    <row r="22" spans="2:8" x14ac:dyDescent="0.25">
      <c r="B22">
        <v>1841</v>
      </c>
      <c r="C22">
        <f>H4+H5</f>
        <v>153</v>
      </c>
      <c r="E22">
        <f>_xlfn.FORECAST.LINEAR(B22,D$25:D$28,B$25:B$28)</f>
        <v>8044.0792492179462</v>
      </c>
      <c r="F22">
        <f>(E22/D$39)*100</f>
        <v>122.41723643354199</v>
      </c>
      <c r="G22">
        <f>(F22/F$39)*C$39</f>
        <v>258.91245505694133</v>
      </c>
    </row>
    <row r="23" spans="2:8" x14ac:dyDescent="0.25">
      <c r="B23" s="1">
        <v>1875</v>
      </c>
      <c r="C23">
        <f>H4+H5</f>
        <v>153</v>
      </c>
      <c r="E23">
        <f>_xlfn.FORECAST.LINEAR(B23,D$25:D$28,B$25:B$28)</f>
        <v>9622.1897810219089</v>
      </c>
      <c r="F23">
        <f>(E23/D$39)*100</f>
        <v>146.43340088255462</v>
      </c>
      <c r="G23">
        <f>(F23/F$39)*C$39</f>
        <v>309.70664286660303</v>
      </c>
      <c r="H23">
        <f>I4+I5</f>
        <v>309.70664286660298</v>
      </c>
    </row>
    <row r="24" spans="2:8" x14ac:dyDescent="0.25">
      <c r="B24">
        <v>1900</v>
      </c>
      <c r="C24">
        <f>H4+H5</f>
        <v>153</v>
      </c>
      <c r="E24">
        <f>_xlfn.FORECAST.LINEAR(B24,D$25:D$28,B$25:B$28)</f>
        <v>10782.565172054237</v>
      </c>
      <c r="F24">
        <f>(E24/D$39)*100</f>
        <v>164.09234533035809</v>
      </c>
      <c r="G24">
        <f>(F24/F$39)*C$39</f>
        <v>347.05531037370736</v>
      </c>
    </row>
    <row r="25" spans="2:8" x14ac:dyDescent="0.25">
      <c r="B25">
        <v>1910</v>
      </c>
      <c r="C25">
        <f>H4+H5</f>
        <v>153</v>
      </c>
      <c r="D25">
        <f>sources_consumption!D13</f>
        <v>11246.715328467153</v>
      </c>
      <c r="F25">
        <f>(D25/D$39)*100</f>
        <v>171.15592310947923</v>
      </c>
      <c r="G25">
        <f>(F25/F$39)*C$39</f>
        <v>361.99477737654854</v>
      </c>
    </row>
    <row r="26" spans="2:8" x14ac:dyDescent="0.25">
      <c r="B26">
        <v>1911</v>
      </c>
      <c r="C26">
        <f>H6+H7</f>
        <v>214</v>
      </c>
      <c r="E26">
        <f>_xlfn.FORECAST.LINEAR(B26,D$25:D$28,B$25:B$28)</f>
        <v>11293.13034410846</v>
      </c>
      <c r="F26">
        <f>(E26/D$39)*100</f>
        <v>171.86228088739156</v>
      </c>
      <c r="G26">
        <f>(F26/F$39)*C$39</f>
        <v>363.48872407683319</v>
      </c>
    </row>
    <row r="27" spans="2:8" x14ac:dyDescent="0.25">
      <c r="B27" s="1">
        <v>1928</v>
      </c>
      <c r="C27">
        <f>H6+H7</f>
        <v>214</v>
      </c>
      <c r="E27">
        <f>_xlfn.FORECAST.LINEAR(B27,D$25:D$28,B$25:B$28)</f>
        <v>12082.185610010434</v>
      </c>
      <c r="F27">
        <f>(E27/D$39)*100</f>
        <v>183.8703631118978</v>
      </c>
      <c r="G27">
        <f>(F27/F$39)*C$39</f>
        <v>388.88581798166382</v>
      </c>
      <c r="H27">
        <f>I6+I7</f>
        <v>388.88581798166382</v>
      </c>
    </row>
    <row r="28" spans="2:8" x14ac:dyDescent="0.25">
      <c r="B28">
        <v>1935</v>
      </c>
      <c r="C28">
        <f>H6+H7</f>
        <v>214</v>
      </c>
      <c r="D28">
        <f>sources_consumption!D19</f>
        <v>12407.09071949948</v>
      </c>
      <c r="F28">
        <f>(D28/D$39)*100</f>
        <v>188.81486755728267</v>
      </c>
      <c r="G28">
        <f>(F28/F$39)*C$39</f>
        <v>399.34344488365286</v>
      </c>
    </row>
    <row r="29" spans="2:8" x14ac:dyDescent="0.25">
      <c r="B29">
        <v>1946</v>
      </c>
      <c r="C29">
        <f>H8+H9</f>
        <v>182.4</v>
      </c>
      <c r="E29">
        <f>_xlfn.FORECAST.LINEAR(B29,D$28:D$33,B$28:B$33)</f>
        <v>10429.352003575186</v>
      </c>
      <c r="F29">
        <f>(E29/D$39)*100</f>
        <v>158.71704026218086</v>
      </c>
      <c r="G29">
        <f>(F29/F$39)*C$39</f>
        <v>335.6865401545125</v>
      </c>
    </row>
    <row r="30" spans="2:8" x14ac:dyDescent="0.25">
      <c r="B30">
        <v>1950</v>
      </c>
      <c r="C30">
        <f>H8+H9+H10</f>
        <v>185.55</v>
      </c>
      <c r="E30">
        <f t="shared" ref="E30:E32" si="2">_xlfn.FORECAST.LINEAR(B30,D$28:D$33,B$28:B$33)</f>
        <v>9710.1742886935826</v>
      </c>
      <c r="F30">
        <f>(E30/D$39)*100</f>
        <v>147.77237579123411</v>
      </c>
      <c r="G30">
        <f>(F30/F$39)*C$39</f>
        <v>312.5385747984601</v>
      </c>
    </row>
    <row r="31" spans="2:8" x14ac:dyDescent="0.25">
      <c r="B31" s="1">
        <v>1960</v>
      </c>
      <c r="C31">
        <f>H8+H9+H10+H11</f>
        <v>212.15</v>
      </c>
      <c r="E31">
        <f t="shared" si="2"/>
        <v>7912.2300014896318</v>
      </c>
      <c r="F31">
        <f>(E31/D$39)*100</f>
        <v>120.41071461386809</v>
      </c>
      <c r="G31">
        <f>(F31/F$39)*C$39</f>
        <v>254.66866140833102</v>
      </c>
      <c r="H31">
        <f>I8+I9+I10</f>
        <v>178.39675532082472</v>
      </c>
    </row>
    <row r="32" spans="2:8" x14ac:dyDescent="0.25">
      <c r="B32" s="1">
        <v>1966</v>
      </c>
      <c r="C32">
        <f>H8+H9+H10+H11</f>
        <v>212.15</v>
      </c>
      <c r="E32">
        <f t="shared" si="2"/>
        <v>6833.4634291672846</v>
      </c>
      <c r="F32">
        <f>(E32/D$39)*100</f>
        <v>103.99371790744884</v>
      </c>
      <c r="G32">
        <f>(F32/F$39)*C$39</f>
        <v>219.9467133742543</v>
      </c>
      <c r="H32">
        <f>I8+I9+I10+I11</f>
        <v>203.66503778917672</v>
      </c>
    </row>
    <row r="33" spans="2:8" x14ac:dyDescent="0.25">
      <c r="B33">
        <v>1970</v>
      </c>
      <c r="C33">
        <f>H8+H9+H10+H11</f>
        <v>212.15</v>
      </c>
      <c r="D33">
        <f>sources_consumption!D25</f>
        <v>6114.2857142857147</v>
      </c>
      <c r="F33">
        <f>(D33/D$39)*100</f>
        <v>93.049053436502604</v>
      </c>
      <c r="G33">
        <f>(F33/F$39)*C$39</f>
        <v>196.79874801820301</v>
      </c>
    </row>
    <row r="34" spans="2:8" x14ac:dyDescent="0.25">
      <c r="B34" s="1">
        <v>1975</v>
      </c>
      <c r="C34">
        <f>H9+H10+H11</f>
        <v>209.75</v>
      </c>
      <c r="E34">
        <f>_xlfn.FORECAST.LINEAR(B34,D$33:D$39,B$33:B$39)</f>
        <v>6190.4105676190484</v>
      </c>
      <c r="F34">
        <f>(E34/D$39)*100</f>
        <v>94.207544530418843</v>
      </c>
      <c r="G34">
        <f>(F34/F$39)*C$39</f>
        <v>199.24895668183584</v>
      </c>
      <c r="H34">
        <f>I9+I10+I11</f>
        <v>200.78403478479305</v>
      </c>
    </row>
    <row r="35" spans="2:8" x14ac:dyDescent="0.25">
      <c r="B35" s="1">
        <v>1978</v>
      </c>
      <c r="C35">
        <f>H9+H10+H11</f>
        <v>209.75</v>
      </c>
      <c r="E35">
        <f>_xlfn.FORECAST.LINEAR(B35,D$33:D$39,B$33:B$39)</f>
        <v>6236.085479619047</v>
      </c>
      <c r="F35">
        <f>(E35/D$39)*100</f>
        <v>94.902639186768567</v>
      </c>
      <c r="G35">
        <f>(F35/F$39)*C$39</f>
        <v>200.71908188001552</v>
      </c>
      <c r="H35">
        <f>I9+I10+I11</f>
        <v>200.78403478479305</v>
      </c>
    </row>
    <row r="36" spans="2:8" x14ac:dyDescent="0.25">
      <c r="B36">
        <v>1982</v>
      </c>
      <c r="C36">
        <f>H9+H11</f>
        <v>206.6</v>
      </c>
      <c r="E36">
        <f>_xlfn.FORECAST.LINEAR(B36,D$33:D$39,B$33:B$39)</f>
        <v>6296.9853622857154</v>
      </c>
      <c r="F36">
        <f>(E36/D$39)*100</f>
        <v>95.829432061901571</v>
      </c>
      <c r="G36">
        <f>(F36/F$39)*C$39</f>
        <v>202.67924881092182</v>
      </c>
    </row>
    <row r="37" spans="2:8" x14ac:dyDescent="0.25">
      <c r="B37">
        <v>1985</v>
      </c>
      <c r="C37">
        <f>H9+H11+H13</f>
        <v>227.6</v>
      </c>
      <c r="E37">
        <f>_xlfn.FORECAST.LINEAR(B37,D$33:D$39,B$33:B$39)</f>
        <v>6342.660274285714</v>
      </c>
      <c r="F37">
        <f>(E37/D$39)*100</f>
        <v>96.524526718251295</v>
      </c>
      <c r="G37">
        <f>(F37/F$39)*C$39</f>
        <v>204.14937400910148</v>
      </c>
    </row>
    <row r="38" spans="2:8" x14ac:dyDescent="0.25">
      <c r="B38" s="1">
        <v>1998</v>
      </c>
      <c r="C38">
        <f>H9+H12+H13</f>
        <v>211.5</v>
      </c>
      <c r="E38">
        <f>_xlfn.FORECAST.LINEAR(B38,D$33:D$39,B$33:B$39)</f>
        <v>6540.5848929523818</v>
      </c>
      <c r="F38">
        <f>(E38/D$39)*100</f>
        <v>99.536603562433527</v>
      </c>
      <c r="G38">
        <f>(F38/F$39)*C$39</f>
        <v>210.51991653454689</v>
      </c>
      <c r="H38">
        <f>I9+I12+I13</f>
        <v>203.6526735819742</v>
      </c>
    </row>
    <row r="39" spans="2:8" x14ac:dyDescent="0.25">
      <c r="B39" s="1">
        <v>2000</v>
      </c>
      <c r="C39">
        <f>H9+H12+H13</f>
        <v>211.5</v>
      </c>
      <c r="D39">
        <f>sources_consumption!D32</f>
        <v>6571.0348342857142</v>
      </c>
      <c r="F39">
        <v>100</v>
      </c>
      <c r="G39">
        <f>(F39/F$39)*C39</f>
        <v>211.5</v>
      </c>
      <c r="H39">
        <f>I9+I12+I13</f>
        <v>203.6526735819742</v>
      </c>
    </row>
  </sheetData>
  <mergeCells count="1">
    <mergeCell ref="B15:G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6964B-F1D9-42CD-B124-F58AF00C8392}">
  <dimension ref="A1:I31"/>
  <sheetViews>
    <sheetView workbookViewId="0">
      <selection activeCell="G22" sqref="G22"/>
    </sheetView>
  </sheetViews>
  <sheetFormatPr defaultRowHeight="15" x14ac:dyDescent="0.25"/>
  <cols>
    <col min="1" max="1" width="16.28515625" customWidth="1"/>
    <col min="3" max="3" width="24.140625" customWidth="1"/>
    <col min="4" max="4" width="18.7109375" customWidth="1"/>
    <col min="5" max="5" width="20.5703125" customWidth="1"/>
    <col min="6" max="6" width="17.5703125" customWidth="1"/>
    <col min="7" max="7" width="18.28515625" customWidth="1"/>
    <col min="8" max="8" width="17.42578125" customWidth="1"/>
  </cols>
  <sheetData>
    <row r="1" spans="1:9" x14ac:dyDescent="0.25">
      <c r="A1" s="1" t="s">
        <v>12</v>
      </c>
      <c r="B1" s="1" t="s">
        <v>13</v>
      </c>
      <c r="C1" s="1" t="s">
        <v>14</v>
      </c>
      <c r="D1" s="1" t="s">
        <v>15</v>
      </c>
      <c r="E1" s="1" t="s">
        <v>17</v>
      </c>
      <c r="F1" s="1" t="s">
        <v>18</v>
      </c>
      <c r="G1" s="1" t="s">
        <v>19</v>
      </c>
      <c r="H1" s="1" t="s">
        <v>20</v>
      </c>
      <c r="I1" s="1" t="s">
        <v>108</v>
      </c>
    </row>
    <row r="2" spans="1:9" x14ac:dyDescent="0.25">
      <c r="A2" t="s">
        <v>55</v>
      </c>
      <c r="B2">
        <v>1750</v>
      </c>
      <c r="C2">
        <v>1840</v>
      </c>
      <c r="D2">
        <f xml:space="preserve"> (B2+C2)/2</f>
        <v>1795</v>
      </c>
      <c r="E2">
        <v>32</v>
      </c>
      <c r="F2">
        <v>1</v>
      </c>
      <c r="G2">
        <v>100</v>
      </c>
      <c r="H2">
        <f xml:space="preserve"> E2*F2*G2/100</f>
        <v>32</v>
      </c>
      <c r="I2">
        <f>(G$17/C$17)*H2</f>
        <v>107.280936523349</v>
      </c>
    </row>
    <row r="3" spans="1:9" x14ac:dyDescent="0.25">
      <c r="A3" t="s">
        <v>56</v>
      </c>
      <c r="B3">
        <v>1841</v>
      </c>
      <c r="C3">
        <v>1910</v>
      </c>
      <c r="D3">
        <f xml:space="preserve"> (B3+C3)/2</f>
        <v>1875.5</v>
      </c>
      <c r="E3">
        <v>30</v>
      </c>
      <c r="F3">
        <v>2</v>
      </c>
      <c r="G3">
        <v>100</v>
      </c>
      <c r="H3">
        <f xml:space="preserve"> E3*F3*G3/100</f>
        <v>60</v>
      </c>
      <c r="I3">
        <f>(G$20/C$20)*H3</f>
        <v>90.518290191575701</v>
      </c>
    </row>
    <row r="4" spans="1:9" x14ac:dyDescent="0.25">
      <c r="A4" t="s">
        <v>57</v>
      </c>
      <c r="B4">
        <v>1911</v>
      </c>
      <c r="C4">
        <v>1945</v>
      </c>
      <c r="D4">
        <f xml:space="preserve"> (B4+C4)/2</f>
        <v>1928</v>
      </c>
      <c r="E4">
        <v>27</v>
      </c>
      <c r="F4">
        <v>3</v>
      </c>
      <c r="G4">
        <v>100</v>
      </c>
      <c r="H4">
        <f xml:space="preserve"> E4*F4*G4/100</f>
        <v>81</v>
      </c>
      <c r="I4">
        <f>(G$24/C$24)*H4</f>
        <v>53.040205878746193</v>
      </c>
    </row>
    <row r="5" spans="1:9" x14ac:dyDescent="0.25">
      <c r="A5" t="s">
        <v>58</v>
      </c>
      <c r="B5">
        <v>1946</v>
      </c>
      <c r="C5">
        <v>1975</v>
      </c>
      <c r="D5">
        <f xml:space="preserve"> (B5+C5)/2</f>
        <v>1960.5</v>
      </c>
      <c r="E5">
        <v>24</v>
      </c>
      <c r="F5">
        <v>4</v>
      </c>
      <c r="G5">
        <v>100</v>
      </c>
      <c r="H5">
        <f xml:space="preserve"> E5*F5*G5/100</f>
        <v>96</v>
      </c>
      <c r="I5">
        <f>(G$26/C$26)*H5</f>
        <v>48.229140301445376</v>
      </c>
    </row>
    <row r="6" spans="1:9" x14ac:dyDescent="0.25">
      <c r="A6" t="s">
        <v>31</v>
      </c>
      <c r="B6">
        <v>1951</v>
      </c>
      <c r="C6">
        <v>1982</v>
      </c>
      <c r="D6">
        <f xml:space="preserve"> (B6+C6)/2</f>
        <v>1966.5</v>
      </c>
      <c r="E6">
        <v>9</v>
      </c>
      <c r="F6">
        <v>7</v>
      </c>
      <c r="G6">
        <v>8</v>
      </c>
      <c r="H6">
        <f xml:space="preserve"> E6*F6*G6/100</f>
        <v>5.04</v>
      </c>
      <c r="I6">
        <f>(G$27/C$27)*H6</f>
        <v>1.7748180541970984</v>
      </c>
    </row>
    <row r="7" spans="1:9" x14ac:dyDescent="0.25">
      <c r="A7" t="s">
        <v>29</v>
      </c>
      <c r="B7">
        <v>1960</v>
      </c>
      <c r="C7">
        <v>1990</v>
      </c>
      <c r="D7">
        <v>1975</v>
      </c>
      <c r="E7">
        <f>dist_calculations!E$24</f>
        <v>38</v>
      </c>
      <c r="F7">
        <v>14</v>
      </c>
      <c r="G7">
        <v>8</v>
      </c>
      <c r="H7">
        <f xml:space="preserve"> E7*F7*G7/100</f>
        <v>42.56</v>
      </c>
      <c r="I7">
        <f>(G$29/C$29)*H7</f>
        <v>45.093036064220961</v>
      </c>
    </row>
    <row r="8" spans="1:9" x14ac:dyDescent="0.25">
      <c r="A8" t="s">
        <v>151</v>
      </c>
      <c r="B8">
        <v>1990</v>
      </c>
      <c r="C8">
        <v>2010</v>
      </c>
      <c r="D8">
        <f t="shared" ref="D8" si="0" xml:space="preserve"> (B8+C8)/2</f>
        <v>2000</v>
      </c>
      <c r="E8">
        <f>dist_calculations!E$28</f>
        <v>15</v>
      </c>
      <c r="F8">
        <f>42/3</f>
        <v>14</v>
      </c>
      <c r="G8">
        <v>8</v>
      </c>
      <c r="H8">
        <f xml:space="preserve"> E8*F8*G8/100</f>
        <v>16.8</v>
      </c>
      <c r="I8">
        <f>(G$31/C$31)*H8</f>
        <v>16.8</v>
      </c>
    </row>
    <row r="9" spans="1:9" x14ac:dyDescent="0.25">
      <c r="A9" t="s">
        <v>30</v>
      </c>
      <c r="B9">
        <v>1985</v>
      </c>
      <c r="C9">
        <v>2010</v>
      </c>
      <c r="D9">
        <f xml:space="preserve"> (B9+C9)/2</f>
        <v>1997.5</v>
      </c>
      <c r="E9">
        <f>dist_calculations!E$29</f>
        <v>10</v>
      </c>
      <c r="F9">
        <v>42</v>
      </c>
      <c r="G9">
        <v>8</v>
      </c>
      <c r="H9">
        <f xml:space="preserve"> E9*F9*G9/100</f>
        <v>33.6</v>
      </c>
      <c r="I9">
        <f>(G$30/C$30)*H9</f>
        <v>33.60176004593599</v>
      </c>
    </row>
    <row r="14" spans="1:9" x14ac:dyDescent="0.25">
      <c r="B14" s="1" t="s">
        <v>28</v>
      </c>
    </row>
    <row r="15" spans="1:9" x14ac:dyDescent="0.25">
      <c r="B15" s="1" t="s">
        <v>0</v>
      </c>
      <c r="C15" s="1" t="s">
        <v>37</v>
      </c>
      <c r="D15" s="1" t="s">
        <v>38</v>
      </c>
      <c r="E15" s="1" t="s">
        <v>39</v>
      </c>
      <c r="F15" s="1" t="s">
        <v>40</v>
      </c>
      <c r="G15" s="1" t="s">
        <v>41</v>
      </c>
      <c r="H15" s="1" t="s">
        <v>109</v>
      </c>
    </row>
    <row r="16" spans="1:9" x14ac:dyDescent="0.25">
      <c r="B16">
        <v>1750</v>
      </c>
      <c r="C16">
        <f>H2</f>
        <v>32</v>
      </c>
    </row>
    <row r="17" spans="2:8" x14ac:dyDescent="0.25">
      <c r="B17" s="1">
        <v>1800</v>
      </c>
      <c r="C17">
        <f>H2</f>
        <v>32</v>
      </c>
      <c r="D17">
        <f>sources_consumption!D3</f>
        <v>153600</v>
      </c>
      <c r="E17">
        <f>_xlfn.FORECAST.LINEAR(B17,D$17:D$22,B$17:B$22)</f>
        <v>153600</v>
      </c>
      <c r="F17">
        <f>(E17/D$31)*F$31</f>
        <v>212.85900103839083</v>
      </c>
      <c r="G17">
        <f>(F17/F$31)*C$31</f>
        <v>107.280936523349</v>
      </c>
      <c r="H17">
        <f>I2</f>
        <v>107.280936523349</v>
      </c>
    </row>
    <row r="18" spans="2:8" x14ac:dyDescent="0.25">
      <c r="B18">
        <v>1820</v>
      </c>
      <c r="C18">
        <f>H2</f>
        <v>32</v>
      </c>
      <c r="E18">
        <f>_xlfn.FORECAST.LINEAR(B18,D$17:D$22,B$17:B$22)</f>
        <v>147200</v>
      </c>
      <c r="F18">
        <f>(E18/D$31)*F$31</f>
        <v>203.98987599512455</v>
      </c>
      <c r="G18">
        <f>(F18/F$31)*C$31</f>
        <v>102.81089750154278</v>
      </c>
      <c r="H18">
        <f>I2</f>
        <v>107.280936523349</v>
      </c>
    </row>
    <row r="19" spans="2:8" x14ac:dyDescent="0.25">
      <c r="B19">
        <v>1841</v>
      </c>
      <c r="C19">
        <f>H3</f>
        <v>60</v>
      </c>
      <c r="E19">
        <f>_xlfn.FORECAST.LINEAR(B19,D$17:D$22,B$17:B$22)</f>
        <v>140480</v>
      </c>
      <c r="F19">
        <f>(E19/D$31)*F$31</f>
        <v>194.67729469969495</v>
      </c>
      <c r="G19">
        <f>(F19/F$31)*C$31</f>
        <v>98.117356528646269</v>
      </c>
      <c r="H19">
        <f>I3</f>
        <v>90.518290191575701</v>
      </c>
    </row>
    <row r="20" spans="2:8" x14ac:dyDescent="0.25">
      <c r="B20" s="1">
        <v>1875</v>
      </c>
      <c r="C20">
        <f>H3</f>
        <v>60</v>
      </c>
      <c r="E20">
        <f>_xlfn.FORECAST.LINEAR(B20,D$17:D$22,B$17:B$22)</f>
        <v>129600</v>
      </c>
      <c r="F20">
        <f>(E20/D$31)*F$31</f>
        <v>179.59978212614226</v>
      </c>
      <c r="G20">
        <f>(F20/F$31)*C$31</f>
        <v>90.518290191575701</v>
      </c>
      <c r="H20">
        <f>I3</f>
        <v>90.518290191575701</v>
      </c>
    </row>
    <row r="21" spans="2:8" x14ac:dyDescent="0.25">
      <c r="B21">
        <v>1880</v>
      </c>
      <c r="C21">
        <f>H3</f>
        <v>60</v>
      </c>
      <c r="D21">
        <f>sources_consumption!D10</f>
        <v>128000</v>
      </c>
      <c r="E21">
        <f>_xlfn.FORECAST.LINEAR(B21,D$17:D$22,B$17:B$22)</f>
        <v>128000</v>
      </c>
      <c r="F21">
        <f>(E21/D$31)*F$31</f>
        <v>177.38250086532571</v>
      </c>
      <c r="G21">
        <f>(F21/F$31)*C$31</f>
        <v>89.40078043612418</v>
      </c>
      <c r="H21">
        <f>I3</f>
        <v>90.518290191575701</v>
      </c>
    </row>
    <row r="22" spans="2:8" x14ac:dyDescent="0.25">
      <c r="B22">
        <v>1900</v>
      </c>
      <c r="C22">
        <f>H3</f>
        <v>60</v>
      </c>
      <c r="E22">
        <f>_xlfn.FORECAST.LINEAR(B22,D$21:D$23,B$21:B$23)</f>
        <v>96914.285714285914</v>
      </c>
      <c r="F22">
        <f>(E22/D$31)*F$31</f>
        <v>134.3038935123183</v>
      </c>
      <c r="G22">
        <f>(F22/F$31)*C$31</f>
        <v>67.689162330208433</v>
      </c>
      <c r="H22">
        <f>I3</f>
        <v>90.518290191575701</v>
      </c>
    </row>
    <row r="23" spans="2:8" x14ac:dyDescent="0.25">
      <c r="B23">
        <v>1910</v>
      </c>
      <c r="C23">
        <f>H4</f>
        <v>81</v>
      </c>
      <c r="D23">
        <f>sources_consumption!D14</f>
        <v>81371.42857142858</v>
      </c>
      <c r="F23">
        <f>(D23/D$31)*F$31</f>
        <v>112.76458983581421</v>
      </c>
      <c r="G23">
        <f>(F23/F$31)*C$31</f>
        <v>56.833353277250367</v>
      </c>
      <c r="H23">
        <f>I4</f>
        <v>53.040205878746193</v>
      </c>
    </row>
    <row r="24" spans="2:8" x14ac:dyDescent="0.25">
      <c r="B24" s="1">
        <v>1928</v>
      </c>
      <c r="C24">
        <f>H4</f>
        <v>81</v>
      </c>
      <c r="E24">
        <f>_xlfn.FORECAST.LINEAR(B24,D$23:D$25,B$23:B$25)</f>
        <v>75940.571428571362</v>
      </c>
      <c r="F24">
        <f>(E24/D$31)*F$31</f>
        <v>105.238503727671</v>
      </c>
      <c r="G24">
        <f>(F24/F$31)*C$31</f>
        <v>53.040205878746193</v>
      </c>
      <c r="H24">
        <f>I4</f>
        <v>53.040205878746193</v>
      </c>
    </row>
    <row r="25" spans="2:8" x14ac:dyDescent="0.25">
      <c r="B25">
        <v>1935</v>
      </c>
      <c r="C25">
        <f>H4</f>
        <v>81</v>
      </c>
      <c r="D25">
        <f>sources_consumption!D20</f>
        <v>73828.57142857142</v>
      </c>
      <c r="F25">
        <f>(D25/D$31)*F$31</f>
        <v>102.3116924633932</v>
      </c>
      <c r="G25">
        <f>(F25/F$31)*C$31</f>
        <v>51.565093001550181</v>
      </c>
      <c r="H25">
        <f>I4</f>
        <v>53.040205878746193</v>
      </c>
    </row>
    <row r="26" spans="2:8" x14ac:dyDescent="0.25">
      <c r="B26" s="1">
        <v>1960</v>
      </c>
      <c r="C26">
        <f>H5+H6</f>
        <v>101.04</v>
      </c>
      <c r="E26">
        <f>_xlfn.FORECAST.LINEAR(B26,D$25:D$28,B$25:B$28)</f>
        <v>72677.551020408166</v>
      </c>
      <c r="F26">
        <f>(E26/D$31)*F$31</f>
        <v>100.71660747474456</v>
      </c>
      <c r="G26">
        <f>(F26/F$31)*C$31</f>
        <v>50.76117016727126</v>
      </c>
      <c r="H26">
        <f>I5+I6</f>
        <v>50.003958355642474</v>
      </c>
    </row>
    <row r="27" spans="2:8" x14ac:dyDescent="0.25">
      <c r="B27" s="1">
        <v>1966</v>
      </c>
      <c r="C27">
        <f>H5+H6+H7</f>
        <v>143.60000000000002</v>
      </c>
      <c r="E27">
        <f>_xlfn.FORECAST.LINEAR(B27,D$25:D$28,B$25:B$28)</f>
        <v>72401.306122448979</v>
      </c>
      <c r="F27">
        <f>(E27/D$31)*F$31</f>
        <v>100.33378707746887</v>
      </c>
      <c r="G27">
        <f>(F27/F$31)*C$31</f>
        <v>50.568228687044318</v>
      </c>
      <c r="H27">
        <f>I5+I6+I7</f>
        <v>95.096994419863435</v>
      </c>
    </row>
    <row r="28" spans="2:8" x14ac:dyDescent="0.25">
      <c r="B28">
        <v>1970</v>
      </c>
      <c r="C28">
        <f>H5+H6+H7</f>
        <v>143.60000000000002</v>
      </c>
      <c r="D28">
        <f>sources_consumption!D26</f>
        <v>72217.14285714287</v>
      </c>
      <c r="F28">
        <f>(D28/D$31)*F$31</f>
        <v>100.0785734792851</v>
      </c>
      <c r="G28">
        <f>(F28/F$31)*C$31</f>
        <v>50.439601033559697</v>
      </c>
      <c r="H28">
        <f>I5+I6+I7</f>
        <v>95.096994419863435</v>
      </c>
    </row>
    <row r="29" spans="2:8" x14ac:dyDescent="0.25">
      <c r="B29" s="1">
        <v>1975</v>
      </c>
      <c r="C29">
        <f>H6+H7</f>
        <v>47.6</v>
      </c>
      <c r="E29">
        <f>_xlfn.FORECAST.LINEAR(B29,D$28:D$34,B$28:B$34)</f>
        <v>72207.693028571448</v>
      </c>
      <c r="F29">
        <f>(E29/D$31)*F$31</f>
        <v>100.06547789940427</v>
      </c>
      <c r="G29">
        <f>(F29/F$31)*C$31</f>
        <v>50.43300086129976</v>
      </c>
      <c r="H29">
        <f>I6+I7</f>
        <v>46.867854118418059</v>
      </c>
    </row>
    <row r="30" spans="2:8" x14ac:dyDescent="0.25">
      <c r="B30" s="1">
        <v>1998</v>
      </c>
      <c r="C30">
        <f>H8+H9</f>
        <v>50.400000000000006</v>
      </c>
      <c r="E30">
        <f>_xlfn.FORECAST.LINEAR(B30,D$28:D$34,B$28:B$34)</f>
        <v>72164.223817142862</v>
      </c>
      <c r="F30">
        <f>(E30/D$31)*F$31</f>
        <v>100.00523823195235</v>
      </c>
      <c r="G30">
        <f>(F30/F$31)*C$31</f>
        <v>50.402640068903992</v>
      </c>
      <c r="H30">
        <f>I8+I9</f>
        <v>50.401760045935987</v>
      </c>
    </row>
    <row r="31" spans="2:8" x14ac:dyDescent="0.25">
      <c r="B31" s="1">
        <v>2000</v>
      </c>
      <c r="C31">
        <f>H8+H9</f>
        <v>50.400000000000006</v>
      </c>
      <c r="D31">
        <f>sources_consumption!D33</f>
        <v>72160.443885714281</v>
      </c>
      <c r="F31">
        <v>100</v>
      </c>
      <c r="G31">
        <f>(F31/F$31)*C$31</f>
        <v>50.400000000000006</v>
      </c>
      <c r="H31">
        <f>I8+I9</f>
        <v>50.401760045935987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A0A5-E37D-4687-B138-8EDA14B48BB4}">
  <dimension ref="A1:I33"/>
  <sheetViews>
    <sheetView workbookViewId="0">
      <selection activeCell="E10" sqref="E10"/>
    </sheetView>
  </sheetViews>
  <sheetFormatPr defaultRowHeight="15" x14ac:dyDescent="0.25"/>
  <cols>
    <col min="1" max="1" width="27.7109375" customWidth="1"/>
    <col min="3" max="3" width="11.5703125" customWidth="1"/>
    <col min="5" max="5" width="13.7109375" customWidth="1"/>
    <col min="6" max="6" width="17.28515625" customWidth="1"/>
    <col min="7" max="7" width="16.28515625" customWidth="1"/>
    <col min="8" max="8" width="18" customWidth="1"/>
  </cols>
  <sheetData>
    <row r="1" spans="1:9" x14ac:dyDescent="0.25">
      <c r="A1" s="1" t="s">
        <v>12</v>
      </c>
      <c r="B1" s="1" t="s">
        <v>13</v>
      </c>
      <c r="C1" s="1" t="s">
        <v>14</v>
      </c>
      <c r="D1" s="1" t="s">
        <v>15</v>
      </c>
      <c r="E1" s="1" t="s">
        <v>17</v>
      </c>
      <c r="F1" s="1" t="s">
        <v>18</v>
      </c>
      <c r="G1" s="1" t="s">
        <v>19</v>
      </c>
      <c r="H1" s="1" t="s">
        <v>20</v>
      </c>
      <c r="I1" s="1" t="s">
        <v>108</v>
      </c>
    </row>
    <row r="2" spans="1:9" x14ac:dyDescent="0.25">
      <c r="A2" t="s">
        <v>16</v>
      </c>
      <c r="B2">
        <v>1750</v>
      </c>
      <c r="C2">
        <v>1840</v>
      </c>
      <c r="D2">
        <f xml:space="preserve"> (B2+C2)/2</f>
        <v>1795</v>
      </c>
      <c r="E2">
        <v>75</v>
      </c>
      <c r="F2">
        <v>4</v>
      </c>
      <c r="G2">
        <v>31</v>
      </c>
      <c r="H2">
        <f xml:space="preserve"> E2*F2*G2/100</f>
        <v>93</v>
      </c>
      <c r="I2">
        <f>(G$18/C$18)*H2</f>
        <v>40.147228173391809</v>
      </c>
    </row>
    <row r="3" spans="1:9" x14ac:dyDescent="0.25">
      <c r="A3" t="s">
        <v>59</v>
      </c>
      <c r="B3">
        <v>1820</v>
      </c>
      <c r="C3">
        <v>1840</v>
      </c>
      <c r="D3">
        <f t="shared" ref="D3:D12" si="0" xml:space="preserve"> (B3+C3)/2</f>
        <v>1830</v>
      </c>
      <c r="E3">
        <v>27</v>
      </c>
      <c r="F3">
        <v>1</v>
      </c>
      <c r="G3">
        <v>100</v>
      </c>
      <c r="H3">
        <f t="shared" ref="H3:H12" si="1" xml:space="preserve"> E3*F3*G3/100</f>
        <v>27</v>
      </c>
      <c r="I3">
        <f>(G$19/C$19)*H3</f>
        <v>23.700316298826298</v>
      </c>
    </row>
    <row r="4" spans="1:9" x14ac:dyDescent="0.25">
      <c r="A4" t="s">
        <v>22</v>
      </c>
      <c r="B4">
        <v>1841</v>
      </c>
      <c r="C4">
        <v>1910</v>
      </c>
      <c r="D4">
        <f t="shared" si="0"/>
        <v>1875.5</v>
      </c>
      <c r="E4">
        <v>45</v>
      </c>
      <c r="F4">
        <v>8</v>
      </c>
      <c r="G4">
        <v>31</v>
      </c>
      <c r="H4">
        <f t="shared" si="1"/>
        <v>111.6</v>
      </c>
      <c r="I4">
        <f>(G$21/C$21)*H4</f>
        <v>126.92716476206782</v>
      </c>
    </row>
    <row r="5" spans="1:9" x14ac:dyDescent="0.25">
      <c r="A5" t="s">
        <v>60</v>
      </c>
      <c r="B5">
        <v>1841</v>
      </c>
      <c r="C5">
        <v>1911</v>
      </c>
      <c r="D5">
        <f t="shared" si="0"/>
        <v>1876</v>
      </c>
      <c r="E5">
        <v>36</v>
      </c>
      <c r="F5">
        <v>2</v>
      </c>
      <c r="G5">
        <v>75</v>
      </c>
      <c r="H5">
        <f t="shared" si="1"/>
        <v>54</v>
      </c>
      <c r="I5">
        <f>(G$21/C$21)*H5</f>
        <v>61.416370046161852</v>
      </c>
    </row>
    <row r="6" spans="1:9" x14ac:dyDescent="0.25">
      <c r="A6" t="s">
        <v>26</v>
      </c>
      <c r="B6">
        <v>1911</v>
      </c>
      <c r="C6">
        <v>1945</v>
      </c>
      <c r="D6">
        <f t="shared" si="0"/>
        <v>1928</v>
      </c>
      <c r="E6">
        <v>10</v>
      </c>
      <c r="F6">
        <v>8</v>
      </c>
      <c r="G6">
        <v>31</v>
      </c>
      <c r="H6">
        <f t="shared" si="1"/>
        <v>24.8</v>
      </c>
      <c r="I6">
        <f>(G$24/C$24)*H6</f>
        <v>62.016282648565443</v>
      </c>
    </row>
    <row r="7" spans="1:9" x14ac:dyDescent="0.25">
      <c r="A7" t="s">
        <v>61</v>
      </c>
      <c r="B7">
        <v>1911</v>
      </c>
      <c r="C7">
        <v>1945</v>
      </c>
      <c r="D7">
        <f xml:space="preserve"> (B7+C7)/2</f>
        <v>1928</v>
      </c>
      <c r="E7">
        <v>30</v>
      </c>
      <c r="F7">
        <v>4</v>
      </c>
      <c r="G7">
        <v>67</v>
      </c>
      <c r="H7">
        <f t="shared" si="1"/>
        <v>80.400000000000006</v>
      </c>
      <c r="I7">
        <f>(G$24/C$24)*H7</f>
        <v>201.05278729615571</v>
      </c>
    </row>
    <row r="8" spans="1:9" x14ac:dyDescent="0.25">
      <c r="A8" t="s">
        <v>27</v>
      </c>
      <c r="B8">
        <v>1946</v>
      </c>
      <c r="C8">
        <v>1975</v>
      </c>
      <c r="D8">
        <f t="shared" si="0"/>
        <v>1960.5</v>
      </c>
      <c r="E8">
        <v>4</v>
      </c>
      <c r="F8">
        <v>12</v>
      </c>
      <c r="G8">
        <v>31</v>
      </c>
      <c r="H8">
        <f t="shared" si="1"/>
        <v>14.88</v>
      </c>
      <c r="I8">
        <f>(G$26/C$26)*H8</f>
        <v>37.439898030229564</v>
      </c>
    </row>
    <row r="9" spans="1:9" x14ac:dyDescent="0.25">
      <c r="A9" t="s">
        <v>62</v>
      </c>
      <c r="B9">
        <v>1946</v>
      </c>
      <c r="C9">
        <v>1987</v>
      </c>
      <c r="D9">
        <f t="shared" si="0"/>
        <v>1966.5</v>
      </c>
      <c r="E9">
        <v>15</v>
      </c>
      <c r="F9">
        <v>6</v>
      </c>
      <c r="G9">
        <v>67</v>
      </c>
      <c r="H9">
        <f t="shared" si="1"/>
        <v>60.3</v>
      </c>
      <c r="I9">
        <f>(G$27/C$27)*H9</f>
        <v>53.703468087267922</v>
      </c>
    </row>
    <row r="10" spans="1:9" x14ac:dyDescent="0.25">
      <c r="A10" t="s">
        <v>31</v>
      </c>
      <c r="B10">
        <v>1951</v>
      </c>
      <c r="C10">
        <v>1982</v>
      </c>
      <c r="D10">
        <f t="shared" si="0"/>
        <v>1966.5</v>
      </c>
      <c r="E10">
        <v>9</v>
      </c>
      <c r="F10">
        <v>7</v>
      </c>
      <c r="G10">
        <v>31</v>
      </c>
      <c r="H10">
        <f t="shared" si="1"/>
        <v>19.53</v>
      </c>
      <c r="I10">
        <f>(G$27/C$27)*H10</f>
        <v>17.393511305876331</v>
      </c>
    </row>
    <row r="11" spans="1:9" x14ac:dyDescent="0.25">
      <c r="A11" t="s">
        <v>29</v>
      </c>
      <c r="B11">
        <v>1960</v>
      </c>
      <c r="C11">
        <v>1990</v>
      </c>
      <c r="D11">
        <f t="shared" si="0"/>
        <v>1975</v>
      </c>
      <c r="E11">
        <f>dist_calculations!E$24</f>
        <v>38</v>
      </c>
      <c r="F11">
        <v>14</v>
      </c>
      <c r="G11">
        <v>31</v>
      </c>
      <c r="H11">
        <f t="shared" si="1"/>
        <v>164.92</v>
      </c>
      <c r="I11">
        <f>(G$29/C$29)*H11</f>
        <v>197.87686073940029</v>
      </c>
    </row>
    <row r="12" spans="1:9" x14ac:dyDescent="0.25">
      <c r="A12" t="s">
        <v>151</v>
      </c>
      <c r="B12">
        <v>1990</v>
      </c>
      <c r="C12">
        <v>2010</v>
      </c>
      <c r="D12">
        <f t="shared" si="0"/>
        <v>2000</v>
      </c>
      <c r="E12">
        <f>dist_calculations!E$28</f>
        <v>15</v>
      </c>
      <c r="F12">
        <f>42/3</f>
        <v>14</v>
      </c>
      <c r="G12">
        <v>31</v>
      </c>
      <c r="H12">
        <f t="shared" si="1"/>
        <v>65.099999999999994</v>
      </c>
      <c r="I12">
        <f>(G$33/C$33)*H12</f>
        <v>65.099999999999994</v>
      </c>
    </row>
    <row r="13" spans="1:9" x14ac:dyDescent="0.25">
      <c r="A13" t="s">
        <v>30</v>
      </c>
      <c r="B13">
        <v>1985</v>
      </c>
      <c r="C13">
        <v>2010</v>
      </c>
      <c r="D13">
        <f xml:space="preserve"> (B13+C13)/2</f>
        <v>1997.5</v>
      </c>
      <c r="E13">
        <f>dist_calculations!E$29</f>
        <v>10</v>
      </c>
      <c r="F13">
        <v>42</v>
      </c>
      <c r="G13">
        <v>31</v>
      </c>
      <c r="H13">
        <f xml:space="preserve"> E13*F13*G13/100</f>
        <v>130.19999999999999</v>
      </c>
      <c r="I13">
        <f>(G$32/C$32)*H13</f>
        <v>131.58718116691168</v>
      </c>
    </row>
    <row r="15" spans="1:9" x14ac:dyDescent="0.25">
      <c r="B15" s="1" t="s">
        <v>28</v>
      </c>
    </row>
    <row r="16" spans="1:9" x14ac:dyDescent="0.25">
      <c r="A16" t="s">
        <v>66</v>
      </c>
      <c r="B16" s="1" t="s">
        <v>0</v>
      </c>
      <c r="C16" s="1" t="s">
        <v>37</v>
      </c>
      <c r="D16" s="1" t="s">
        <v>38</v>
      </c>
      <c r="E16" s="1" t="s">
        <v>39</v>
      </c>
      <c r="F16" s="1" t="s">
        <v>40</v>
      </c>
      <c r="G16" s="1" t="s">
        <v>41</v>
      </c>
      <c r="H16" s="1" t="s">
        <v>109</v>
      </c>
    </row>
    <row r="17" spans="1:8" x14ac:dyDescent="0.25">
      <c r="B17">
        <v>1750</v>
      </c>
      <c r="C17">
        <f>H2</f>
        <v>93</v>
      </c>
    </row>
    <row r="18" spans="1:8" x14ac:dyDescent="0.25">
      <c r="A18" t="s">
        <v>16</v>
      </c>
      <c r="B18" s="1">
        <v>1800</v>
      </c>
      <c r="C18">
        <f>H2</f>
        <v>93</v>
      </c>
      <c r="D18">
        <f>sources_consumption!D5</f>
        <v>21164</v>
      </c>
      <c r="F18">
        <f>(D18/E$22)*100</f>
        <v>20.55669645334962</v>
      </c>
      <c r="G18">
        <f>(F18/F$33)*C$33</f>
        <v>40.147228173391809</v>
      </c>
      <c r="H18">
        <f>I2</f>
        <v>40.147228173391809</v>
      </c>
    </row>
    <row r="19" spans="1:8" x14ac:dyDescent="0.25">
      <c r="A19" t="s">
        <v>59</v>
      </c>
      <c r="B19" s="1">
        <v>1830</v>
      </c>
      <c r="C19">
        <f>H2+H3</f>
        <v>120</v>
      </c>
      <c r="E19">
        <f>_xlfn.FORECAST.LINEAR(B19,D$18:D$20,B$18:B$20)</f>
        <v>46529.59999999986</v>
      </c>
      <c r="F19">
        <f>(E19/D$33)*100</f>
        <v>53.934838251866189</v>
      </c>
      <c r="G19">
        <f>(F19/F$33)*C$33</f>
        <v>105.33473910589466</v>
      </c>
      <c r="H19">
        <f>I2+I3</f>
        <v>63.847544472218104</v>
      </c>
    </row>
    <row r="20" spans="1:8" x14ac:dyDescent="0.25">
      <c r="B20" s="11">
        <v>1850</v>
      </c>
      <c r="C20">
        <f>H4+H5</f>
        <v>165.6</v>
      </c>
      <c r="D20">
        <f>sources_consumption!D8</f>
        <v>63440</v>
      </c>
      <c r="F20">
        <f>(D20/D$33)*100</f>
        <v>73.53654746007706</v>
      </c>
      <c r="G20">
        <f>(F20/F$33)*C$33</f>
        <v>143.6168771895305</v>
      </c>
      <c r="H20">
        <f>I4+I5</f>
        <v>188.34353480822966</v>
      </c>
    </row>
    <row r="21" spans="1:8" x14ac:dyDescent="0.25">
      <c r="A21" t="s">
        <v>67</v>
      </c>
      <c r="B21" s="1">
        <v>1875</v>
      </c>
      <c r="C21">
        <f>H4+H5</f>
        <v>165.6</v>
      </c>
      <c r="E21">
        <f>_xlfn.FORECAST.LINEAR(B21,D$20:D$23,B$20:B$23)</f>
        <v>83197.142857142724</v>
      </c>
      <c r="F21">
        <f>(E21/D$33)*100</f>
        <v>96.438061857772496</v>
      </c>
      <c r="G21">
        <f>(F21/F$33)*C$33</f>
        <v>188.34353480822966</v>
      </c>
      <c r="H21">
        <f>I4+I5</f>
        <v>188.34353480822966</v>
      </c>
    </row>
    <row r="22" spans="1:8" x14ac:dyDescent="0.25">
      <c r="B22">
        <v>1900</v>
      </c>
      <c r="C22">
        <f>H4+H5</f>
        <v>165.6</v>
      </c>
      <c r="E22">
        <f>_xlfn.FORECAST.LINEAR(B22,D$20:D$23,B$20:B$23)</f>
        <v>102954.28571428568</v>
      </c>
      <c r="F22">
        <f>(E22/D$33)*100</f>
        <v>119.3395762554682</v>
      </c>
      <c r="G22">
        <f>(F22/F$33)*C$33</f>
        <v>233.0701924269294</v>
      </c>
      <c r="H22">
        <f>I4+I5</f>
        <v>188.34353480822966</v>
      </c>
    </row>
    <row r="23" spans="1:8" x14ac:dyDescent="0.25">
      <c r="B23">
        <v>1910</v>
      </c>
      <c r="C23">
        <f>H4+H5</f>
        <v>165.6</v>
      </c>
      <c r="D23">
        <f>sources_consumption!D15</f>
        <v>110857.14285714287</v>
      </c>
      <c r="F23">
        <f>(D23/D$33)*100</f>
        <v>128.50018201454648</v>
      </c>
      <c r="G23">
        <f>(F23/F$33)*C$33</f>
        <v>250.96085547440924</v>
      </c>
      <c r="H23">
        <f>I4+I5</f>
        <v>188.34353480822966</v>
      </c>
    </row>
    <row r="24" spans="1:8" x14ac:dyDescent="0.25">
      <c r="A24" t="s">
        <v>68</v>
      </c>
      <c r="B24" s="1">
        <v>1928</v>
      </c>
      <c r="C24">
        <f>H6+H7</f>
        <v>105.2</v>
      </c>
      <c r="E24">
        <f>_xlfn.FORECAST.LINEAR(B24,D$23:D$25,B$23:B$25)</f>
        <v>116205.71428571438</v>
      </c>
      <c r="F24">
        <f>(E24/D$33)*100</f>
        <v>134.69998461071233</v>
      </c>
      <c r="G24">
        <f>(F24/F$33)*C$33</f>
        <v>263.06906994472115</v>
      </c>
      <c r="H24">
        <f>I6+I7</f>
        <v>263.06906994472115</v>
      </c>
    </row>
    <row r="25" spans="1:8" x14ac:dyDescent="0.25">
      <c r="B25">
        <v>1935</v>
      </c>
      <c r="C25">
        <f>H6+H7</f>
        <v>105.2</v>
      </c>
      <c r="D25">
        <f>sources_consumption!D21</f>
        <v>118285.7142857143</v>
      </c>
      <c r="F25">
        <f>(D25/D$33)*100</f>
        <v>137.11101895366559</v>
      </c>
      <c r="G25">
        <f>(F25/F$33)*C$33</f>
        <v>267.77782001650888</v>
      </c>
      <c r="H25">
        <f>I6+I7</f>
        <v>263.06906994472115</v>
      </c>
    </row>
    <row r="26" spans="1:8" x14ac:dyDescent="0.25">
      <c r="A26" t="s">
        <v>27</v>
      </c>
      <c r="B26" s="1">
        <v>1960</v>
      </c>
      <c r="C26">
        <f>H8+H9+H10</f>
        <v>94.71</v>
      </c>
      <c r="E26">
        <f>_xlfn.FORECAST.LINEAR(B26,D$25:D$28,B$25:B$28)</f>
        <v>105265.30612244899</v>
      </c>
      <c r="F26">
        <f>(E26/D$33)*100</f>
        <v>122.01839816477002</v>
      </c>
      <c r="G26">
        <f>(F26/F$33)*C$33</f>
        <v>238.30193161579584</v>
      </c>
      <c r="H26">
        <f>I8+I9+I10</f>
        <v>108.53687742337382</v>
      </c>
    </row>
    <row r="27" spans="1:8" x14ac:dyDescent="0.25">
      <c r="A27" t="s">
        <v>69</v>
      </c>
      <c r="B27" s="1">
        <v>1966</v>
      </c>
      <c r="C27">
        <f>H8+H9+H10+H11</f>
        <v>259.63</v>
      </c>
      <c r="E27">
        <f>_xlfn.FORECAST.LINEAR(B27,D$25:D$28,B$25:B$28)</f>
        <v>102140.40816326533</v>
      </c>
      <c r="F27">
        <f>(E27/D$33)*100</f>
        <v>118.39616917543509</v>
      </c>
      <c r="G27">
        <f>(F27/F$33)*C$33</f>
        <v>231.22771839962473</v>
      </c>
      <c r="H27">
        <f>I8+I9+I10+I11</f>
        <v>306.41373816277411</v>
      </c>
    </row>
    <row r="28" spans="1:8" x14ac:dyDescent="0.25">
      <c r="B28">
        <v>1970</v>
      </c>
      <c r="C28">
        <f>H8+H9+H10+H11</f>
        <v>259.63</v>
      </c>
      <c r="D28">
        <f>sources_consumption!D27</f>
        <v>100057.14285714286</v>
      </c>
      <c r="F28">
        <f>(D28/D$33)*100</f>
        <v>115.9813498492118</v>
      </c>
      <c r="G28">
        <f>(F28/F$33)*C$33</f>
        <v>226.51157625551062</v>
      </c>
      <c r="H28">
        <f>I8+I9+I10+I11</f>
        <v>306.41373816277411</v>
      </c>
    </row>
    <row r="29" spans="1:8" x14ac:dyDescent="0.25">
      <c r="A29" t="s">
        <v>29</v>
      </c>
      <c r="B29" s="1">
        <v>1975</v>
      </c>
      <c r="C29">
        <f>H10+H11</f>
        <v>184.45</v>
      </c>
      <c r="E29">
        <f>_xlfn.FORECAST.LINEAR(B29,D$28:D$33,B$28:B$33)</f>
        <v>97759.290361904888</v>
      </c>
      <c r="F29">
        <f>(E29/D$33)*100</f>
        <v>113.31779154100998</v>
      </c>
      <c r="G29">
        <f>(F29/F$33)*C$33</f>
        <v>221.30964687959246</v>
      </c>
      <c r="H29">
        <f>I10+I11</f>
        <v>215.27037204527662</v>
      </c>
    </row>
    <row r="30" spans="1:8" x14ac:dyDescent="0.25">
      <c r="B30">
        <v>1980</v>
      </c>
      <c r="C30">
        <f>H10+H11</f>
        <v>184.45</v>
      </c>
      <c r="E30">
        <f>_xlfn.FORECAST.LINEAR(B30,D$28:D$33,B$28:B$33)</f>
        <v>95461.43786666682</v>
      </c>
      <c r="F30">
        <f>(E30/D$33)*100</f>
        <v>110.65423323280805</v>
      </c>
      <c r="G30">
        <f>(F30/F$33)*C$33</f>
        <v>216.10771750367411</v>
      </c>
      <c r="H30">
        <f>I10+I11</f>
        <v>215.27037204527662</v>
      </c>
    </row>
    <row r="31" spans="1:8" x14ac:dyDescent="0.25">
      <c r="B31">
        <v>1982</v>
      </c>
      <c r="C31">
        <f>H11</f>
        <v>164.92</v>
      </c>
      <c r="E31">
        <f>_xlfn.FORECAST.LINEAR(B31,D$28:D$33,B$28:B$33)</f>
        <v>94542.296868571546</v>
      </c>
      <c r="F31">
        <f>(E31/D$33)*100</f>
        <v>109.58880990952721</v>
      </c>
      <c r="G31">
        <f>(F31/F$33)*C$33</f>
        <v>214.02694575330665</v>
      </c>
      <c r="H31">
        <f>I11</f>
        <v>197.87686073940029</v>
      </c>
    </row>
    <row r="32" spans="1:8" x14ac:dyDescent="0.25">
      <c r="A32" t="s">
        <v>30</v>
      </c>
      <c r="B32" s="1">
        <v>1998</v>
      </c>
      <c r="C32">
        <f>H12+H13</f>
        <v>195.29999999999998</v>
      </c>
      <c r="E32">
        <f>_xlfn.FORECAST.LINEAR(B32,D$28:D$33,B$28:B$33)</f>
        <v>87189.168883809587</v>
      </c>
      <c r="F32">
        <f>(E32/D$33)*100</f>
        <v>101.06542332328085</v>
      </c>
      <c r="G32">
        <f>(F32/F$33)*C$33</f>
        <v>197.3807717503675</v>
      </c>
      <c r="H32">
        <f>I12+I13</f>
        <v>196.68718116691167</v>
      </c>
    </row>
    <row r="33" spans="2:8" x14ac:dyDescent="0.25">
      <c r="B33">
        <v>2000</v>
      </c>
      <c r="C33">
        <f>H12+H13</f>
        <v>195.29999999999998</v>
      </c>
      <c r="D33">
        <f>sources_consumption!D34</f>
        <v>86270.027885714284</v>
      </c>
      <c r="F33">
        <v>100</v>
      </c>
      <c r="G33">
        <f>(F33/F$33)*C$33</f>
        <v>195.29999999999998</v>
      </c>
      <c r="H33">
        <f>I12+I13</f>
        <v>196.68718116691167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312D0-D4A8-4839-A339-273C067DDA63}">
  <dimension ref="A1:I32"/>
  <sheetViews>
    <sheetView workbookViewId="0">
      <selection activeCell="E10" sqref="E10"/>
    </sheetView>
  </sheetViews>
  <sheetFormatPr defaultRowHeight="15" x14ac:dyDescent="0.25"/>
  <cols>
    <col min="1" max="1" width="18.85546875" customWidth="1"/>
    <col min="5" max="5" width="19.28515625" customWidth="1"/>
    <col min="7" max="7" width="17.5703125" customWidth="1"/>
    <col min="8" max="8" width="18.42578125" customWidth="1"/>
  </cols>
  <sheetData>
    <row r="1" spans="1:9" x14ac:dyDescent="0.25">
      <c r="A1" s="1" t="s">
        <v>12</v>
      </c>
      <c r="B1" s="1" t="s">
        <v>13</v>
      </c>
      <c r="C1" s="1" t="s">
        <v>14</v>
      </c>
      <c r="D1" s="1" t="s">
        <v>15</v>
      </c>
      <c r="E1" s="1" t="s">
        <v>17</v>
      </c>
      <c r="F1" s="1" t="s">
        <v>18</v>
      </c>
      <c r="G1" s="1" t="s">
        <v>19</v>
      </c>
      <c r="H1" s="1" t="s">
        <v>20</v>
      </c>
      <c r="I1" s="1" t="s">
        <v>115</v>
      </c>
    </row>
    <row r="2" spans="1:9" x14ac:dyDescent="0.25">
      <c r="A2" t="s">
        <v>16</v>
      </c>
      <c r="B2">
        <v>1750</v>
      </c>
      <c r="C2">
        <v>1840</v>
      </c>
      <c r="D2">
        <f xml:space="preserve"> (B2+C2)/2</f>
        <v>1795</v>
      </c>
      <c r="E2">
        <v>75</v>
      </c>
      <c r="F2">
        <v>4</v>
      </c>
      <c r="G2">
        <v>16</v>
      </c>
      <c r="H2">
        <f xml:space="preserve"> E2*F2*G2/100</f>
        <v>48</v>
      </c>
      <c r="I2">
        <f>(G$18/C$18)*H2</f>
        <v>32.724161607199655</v>
      </c>
    </row>
    <row r="3" spans="1:9" x14ac:dyDescent="0.25">
      <c r="A3" t="s">
        <v>59</v>
      </c>
      <c r="B3">
        <v>1820</v>
      </c>
      <c r="C3">
        <v>1840</v>
      </c>
      <c r="D3">
        <f t="shared" ref="D3:D12" si="0" xml:space="preserve"> (B3+C3)/2</f>
        <v>1830</v>
      </c>
      <c r="E3">
        <v>27</v>
      </c>
      <c r="F3">
        <v>1</v>
      </c>
      <c r="G3">
        <v>100</v>
      </c>
      <c r="H3">
        <f t="shared" ref="H3:H12" si="1" xml:space="preserve"> E3*F3*G3/100</f>
        <v>27</v>
      </c>
      <c r="I3">
        <f>(G19/C19)*H3</f>
        <v>20.605367360897031</v>
      </c>
    </row>
    <row r="4" spans="1:9" x14ac:dyDescent="0.25">
      <c r="A4" t="s">
        <v>22</v>
      </c>
      <c r="B4">
        <v>1841</v>
      </c>
      <c r="C4">
        <v>1910</v>
      </c>
      <c r="D4">
        <f t="shared" si="0"/>
        <v>1875.5</v>
      </c>
      <c r="E4">
        <v>45</v>
      </c>
      <c r="F4">
        <v>8</v>
      </c>
      <c r="G4">
        <v>16</v>
      </c>
      <c r="H4">
        <f t="shared" si="1"/>
        <v>57.6</v>
      </c>
      <c r="I4">
        <f>(G$20/C$20)*H4</f>
        <v>41.780705104141695</v>
      </c>
    </row>
    <row r="5" spans="1:9" x14ac:dyDescent="0.25">
      <c r="A5" t="s">
        <v>60</v>
      </c>
      <c r="B5">
        <v>1841</v>
      </c>
      <c r="C5">
        <v>1911</v>
      </c>
      <c r="D5">
        <f t="shared" si="0"/>
        <v>1876</v>
      </c>
      <c r="E5">
        <v>36</v>
      </c>
      <c r="F5">
        <v>2</v>
      </c>
      <c r="G5">
        <v>100</v>
      </c>
      <c r="H5">
        <f t="shared" si="1"/>
        <v>72</v>
      </c>
      <c r="I5">
        <f>(G$20/C$20)*H5</f>
        <v>52.225881380177114</v>
      </c>
    </row>
    <row r="6" spans="1:9" x14ac:dyDescent="0.25">
      <c r="A6" t="s">
        <v>26</v>
      </c>
      <c r="B6">
        <v>1911</v>
      </c>
      <c r="C6">
        <v>1945</v>
      </c>
      <c r="D6">
        <f t="shared" si="0"/>
        <v>1928</v>
      </c>
      <c r="E6">
        <v>10</v>
      </c>
      <c r="F6">
        <v>8</v>
      </c>
      <c r="G6">
        <v>16</v>
      </c>
      <c r="H6">
        <f t="shared" si="1"/>
        <v>12.8</v>
      </c>
      <c r="I6">
        <f>(G$23/C$23)*H6</f>
        <v>12.479975740991273</v>
      </c>
    </row>
    <row r="7" spans="1:9" x14ac:dyDescent="0.25">
      <c r="A7" t="s">
        <v>61</v>
      </c>
      <c r="B7">
        <v>1911</v>
      </c>
      <c r="C7">
        <v>1945</v>
      </c>
      <c r="D7">
        <f xml:space="preserve"> (B7+C7)/2</f>
        <v>1928</v>
      </c>
      <c r="E7">
        <v>30</v>
      </c>
      <c r="F7">
        <v>4</v>
      </c>
      <c r="G7">
        <v>100</v>
      </c>
      <c r="H7">
        <f t="shared" si="1"/>
        <v>120</v>
      </c>
      <c r="I7">
        <f>(G$23/C$23)*H7</f>
        <v>116.99977257179319</v>
      </c>
    </row>
    <row r="8" spans="1:9" x14ac:dyDescent="0.25">
      <c r="A8" t="s">
        <v>27</v>
      </c>
      <c r="B8">
        <v>1946</v>
      </c>
      <c r="C8">
        <v>1975</v>
      </c>
      <c r="D8">
        <f t="shared" si="0"/>
        <v>1960.5</v>
      </c>
      <c r="E8">
        <v>4</v>
      </c>
      <c r="F8">
        <v>12</v>
      </c>
      <c r="G8">
        <v>16</v>
      </c>
      <c r="H8">
        <f t="shared" si="1"/>
        <v>7.68</v>
      </c>
      <c r="I8">
        <f>(G$25/C$25)*H8</f>
        <v>7.15321110420963</v>
      </c>
    </row>
    <row r="9" spans="1:9" x14ac:dyDescent="0.25">
      <c r="A9" t="s">
        <v>62</v>
      </c>
      <c r="B9">
        <v>1946</v>
      </c>
      <c r="C9">
        <v>1987</v>
      </c>
      <c r="D9">
        <f t="shared" si="0"/>
        <v>1966.5</v>
      </c>
      <c r="E9">
        <v>15</v>
      </c>
      <c r="F9">
        <v>6</v>
      </c>
      <c r="G9">
        <v>100</v>
      </c>
      <c r="H9">
        <f t="shared" si="1"/>
        <v>90</v>
      </c>
      <c r="I9">
        <f>(G$26/C$26)*H9</f>
        <v>43.060400968744382</v>
      </c>
    </row>
    <row r="10" spans="1:9" x14ac:dyDescent="0.25">
      <c r="A10" t="s">
        <v>31</v>
      </c>
      <c r="B10">
        <v>1951</v>
      </c>
      <c r="C10">
        <v>1982</v>
      </c>
      <c r="D10">
        <f t="shared" si="0"/>
        <v>1966.5</v>
      </c>
      <c r="E10">
        <v>9</v>
      </c>
      <c r="F10">
        <v>7</v>
      </c>
      <c r="G10">
        <v>16</v>
      </c>
      <c r="H10">
        <f t="shared" si="1"/>
        <v>10.08</v>
      </c>
      <c r="I10">
        <f>(G$26/C$26)*H10</f>
        <v>4.8227649084993711</v>
      </c>
    </row>
    <row r="11" spans="1:9" x14ac:dyDescent="0.25">
      <c r="A11" t="s">
        <v>29</v>
      </c>
      <c r="B11">
        <v>1960</v>
      </c>
      <c r="C11">
        <v>1990</v>
      </c>
      <c r="D11">
        <f t="shared" si="0"/>
        <v>1975</v>
      </c>
      <c r="E11">
        <f>dist_calculations!E$24</f>
        <v>38</v>
      </c>
      <c r="F11">
        <v>14</v>
      </c>
      <c r="G11">
        <v>16</v>
      </c>
      <c r="H11">
        <f t="shared" si="1"/>
        <v>85.12</v>
      </c>
      <c r="I11">
        <f>(G$28/C$28)*H11</f>
        <v>79.765013229421356</v>
      </c>
    </row>
    <row r="12" spans="1:9" x14ac:dyDescent="0.25">
      <c r="A12" t="s">
        <v>151</v>
      </c>
      <c r="B12">
        <v>1990</v>
      </c>
      <c r="C12">
        <v>2010</v>
      </c>
      <c r="D12">
        <f t="shared" si="0"/>
        <v>2000</v>
      </c>
      <c r="E12">
        <f>dist_calculations!E$28</f>
        <v>15</v>
      </c>
      <c r="F12">
        <f>42/3</f>
        <v>14</v>
      </c>
      <c r="G12">
        <v>16</v>
      </c>
      <c r="H12">
        <f t="shared" si="1"/>
        <v>33.6</v>
      </c>
      <c r="I12">
        <f>(G$32/C$32)*H12</f>
        <v>33.6</v>
      </c>
    </row>
    <row r="13" spans="1:9" x14ac:dyDescent="0.25">
      <c r="A13" t="s">
        <v>30</v>
      </c>
      <c r="B13">
        <v>1985</v>
      </c>
      <c r="C13">
        <v>2010</v>
      </c>
      <c r="D13">
        <f xml:space="preserve"> (B13+C13)/2</f>
        <v>1997.5</v>
      </c>
      <c r="E13">
        <f>dist_calculations!E$29</f>
        <v>10</v>
      </c>
      <c r="F13">
        <v>42</v>
      </c>
      <c r="G13">
        <v>16</v>
      </c>
      <c r="H13">
        <f xml:space="preserve"> E13*F13*G13/100</f>
        <v>67.2</v>
      </c>
      <c r="I13">
        <f>(G$31/C$31)*H13</f>
        <v>66.581913069825177</v>
      </c>
    </row>
    <row r="15" spans="1:9" x14ac:dyDescent="0.25">
      <c r="B15" s="1" t="s">
        <v>28</v>
      </c>
    </row>
    <row r="16" spans="1:9" x14ac:dyDescent="0.25">
      <c r="A16" t="s">
        <v>66</v>
      </c>
      <c r="B16" s="1" t="s">
        <v>0</v>
      </c>
      <c r="C16" s="1" t="s">
        <v>37</v>
      </c>
      <c r="D16" s="1" t="s">
        <v>38</v>
      </c>
      <c r="E16" s="1" t="s">
        <v>39</v>
      </c>
      <c r="F16" s="1" t="s">
        <v>40</v>
      </c>
      <c r="G16" s="1" t="s">
        <v>41</v>
      </c>
      <c r="H16" s="1" t="s">
        <v>109</v>
      </c>
      <c r="I16" s="1" t="s">
        <v>161</v>
      </c>
    </row>
    <row r="17" spans="1:9" x14ac:dyDescent="0.25">
      <c r="B17">
        <v>1750</v>
      </c>
      <c r="C17">
        <f>H2</f>
        <v>48</v>
      </c>
    </row>
    <row r="18" spans="1:9" x14ac:dyDescent="0.25">
      <c r="A18" t="s">
        <v>16</v>
      </c>
      <c r="B18" s="1">
        <v>1800</v>
      </c>
      <c r="C18">
        <f>H2</f>
        <v>48</v>
      </c>
      <c r="D18">
        <f>sources_consumption!D4</f>
        <v>9959.5294117647063</v>
      </c>
      <c r="F18">
        <f>(D18/D$32)*100</f>
        <v>32.464446038888546</v>
      </c>
      <c r="G18">
        <f>(F18/F$32)*C$32</f>
        <v>32.724161607199655</v>
      </c>
      <c r="H18">
        <f>I2</f>
        <v>32.724161607199655</v>
      </c>
      <c r="I18">
        <f t="shared" ref="I18:I32" si="2">(H18/G18 -1)*100</f>
        <v>0</v>
      </c>
    </row>
    <row r="19" spans="1:9" x14ac:dyDescent="0.25">
      <c r="A19" t="s">
        <v>59</v>
      </c>
      <c r="B19" s="1">
        <v>1830</v>
      </c>
      <c r="C19">
        <f>H2+H3</f>
        <v>75</v>
      </c>
      <c r="E19">
        <f>_xlfn.FORECAST.LINEAR(B19,D$18:D$21,B$18:B$21)</f>
        <v>17420</v>
      </c>
      <c r="F19">
        <f>(E19/D$32)*100</f>
        <v>56.78286860917391</v>
      </c>
      <c r="G19">
        <f>(F19/F$32)*C$32</f>
        <v>57.237131558047309</v>
      </c>
      <c r="H19">
        <f>I2+I3</f>
        <v>53.329528968096682</v>
      </c>
      <c r="I19">
        <f t="shared" si="2"/>
        <v>-6.8270412642669083</v>
      </c>
    </row>
    <row r="20" spans="1:9" x14ac:dyDescent="0.25">
      <c r="A20" t="s">
        <v>67</v>
      </c>
      <c r="B20" s="1">
        <v>1875</v>
      </c>
      <c r="C20">
        <f>H4+H5</f>
        <v>129.6</v>
      </c>
      <c r="E20">
        <f>_xlfn.FORECAST.LINEAR(B20,D$18:D$21,B$18:B$21)</f>
        <v>28610.705882352951</v>
      </c>
      <c r="F20">
        <f>(E20/D$32)*100</f>
        <v>93.260502464601984</v>
      </c>
      <c r="G20">
        <f>(F20/F$32)*C$32</f>
        <v>94.006586484318802</v>
      </c>
      <c r="H20">
        <f>I4+I5</f>
        <v>94.006586484318802</v>
      </c>
      <c r="I20">
        <f t="shared" si="2"/>
        <v>0</v>
      </c>
    </row>
    <row r="21" spans="1:9" x14ac:dyDescent="0.25">
      <c r="B21">
        <v>1880</v>
      </c>
      <c r="C21">
        <f>H4+H5</f>
        <v>129.6</v>
      </c>
      <c r="D21">
        <f>sources_consumption!D11</f>
        <v>29854.117647058825</v>
      </c>
      <c r="F21">
        <f>(D21/D$32)*100</f>
        <v>97.313572892982862</v>
      </c>
      <c r="G21">
        <f>(F21/F$32)*C$32</f>
        <v>98.092081476126737</v>
      </c>
      <c r="H21">
        <f>I4+I5</f>
        <v>94.006586484318802</v>
      </c>
      <c r="I21">
        <f t="shared" si="2"/>
        <v>-4.164959016393432</v>
      </c>
    </row>
    <row r="22" spans="1:9" x14ac:dyDescent="0.25">
      <c r="B22">
        <v>1900</v>
      </c>
      <c r="C22">
        <f>H4+H5</f>
        <v>129.6</v>
      </c>
      <c r="E22">
        <f>_xlfn.FORECAST.LINEAR(B22,D$21:D$27,B$21:B$27)</f>
        <v>32841.814037355834</v>
      </c>
      <c r="F22">
        <f>(E22/D$32)*100</f>
        <v>107.052377231349</v>
      </c>
      <c r="G22">
        <f>(F22/F$32)*C$32</f>
        <v>107.9087962491998</v>
      </c>
      <c r="H22">
        <f>I4+I5</f>
        <v>94.006586484318802</v>
      </c>
      <c r="I22">
        <f t="shared" si="2"/>
        <v>-12.883296124234256</v>
      </c>
    </row>
    <row r="23" spans="1:9" x14ac:dyDescent="0.25">
      <c r="A23" t="s">
        <v>68</v>
      </c>
      <c r="B23" s="1">
        <v>1928</v>
      </c>
      <c r="C23">
        <f>H6+H7</f>
        <v>132.80000000000001</v>
      </c>
      <c r="E23">
        <f>_xlfn.FORECAST.LINEAR(B23,D$21:D$24,B$21:B$24)</f>
        <v>39406.887700534775</v>
      </c>
      <c r="F23">
        <f>(E23/D$32)*100</f>
        <v>128.45213126268297</v>
      </c>
      <c r="G23">
        <f>(F23/F$32)*C$32</f>
        <v>129.47974831278447</v>
      </c>
      <c r="H23">
        <f>I6+I7</f>
        <v>129.47974831278447</v>
      </c>
      <c r="I23">
        <f t="shared" si="2"/>
        <v>0</v>
      </c>
    </row>
    <row r="24" spans="1:9" x14ac:dyDescent="0.25">
      <c r="B24" s="1">
        <v>1935</v>
      </c>
      <c r="C24">
        <f>H6+H7</f>
        <v>132.80000000000001</v>
      </c>
      <c r="D24">
        <f>sources_consumption!D22</f>
        <v>40800.000000000007</v>
      </c>
      <c r="F24">
        <f>(D24/D$32)*100</f>
        <v>132.99317102493086</v>
      </c>
      <c r="G24">
        <f>(F24/F$32)*C$32</f>
        <v>134.05711639313034</v>
      </c>
      <c r="H24">
        <f>I6+I7</f>
        <v>129.47974831278447</v>
      </c>
      <c r="I24">
        <f t="shared" si="2"/>
        <v>-3.414490930061842</v>
      </c>
    </row>
    <row r="25" spans="1:9" x14ac:dyDescent="0.25">
      <c r="A25" t="s">
        <v>27</v>
      </c>
      <c r="B25" s="1">
        <v>1960</v>
      </c>
      <c r="C25">
        <f>H8+H9+H10</f>
        <v>107.76</v>
      </c>
      <c r="E25">
        <f>_xlfn.FORECAST.LINEAR(B25,D$24:D$27,B$24:B$27)</f>
        <v>30546.938775510294</v>
      </c>
      <c r="F25">
        <f>(E25/D$32)*100</f>
        <v>99.571917962243432</v>
      </c>
      <c r="G25">
        <f>(F25/F$32)*C$32</f>
        <v>100.36849330594139</v>
      </c>
      <c r="H25">
        <f>I8+I9+I10</f>
        <v>55.036376981453387</v>
      </c>
      <c r="I25">
        <f t="shared" si="2"/>
        <v>-45.165683803090964</v>
      </c>
    </row>
    <row r="26" spans="1:9" x14ac:dyDescent="0.25">
      <c r="A26" t="s">
        <v>69</v>
      </c>
      <c r="B26" s="1">
        <v>1966</v>
      </c>
      <c r="C26">
        <f>H8+H9+H10+H11</f>
        <v>192.88</v>
      </c>
      <c r="E26">
        <f>_xlfn.FORECAST.LINEAR(B26,D$24:D$27,B$24:B$27)</f>
        <v>28086.204081632663</v>
      </c>
      <c r="F26">
        <f>(E26/D$32)*100</f>
        <v>91.550817227198138</v>
      </c>
      <c r="G26">
        <f>(F26/F$32)*C$32</f>
        <v>92.283223765015734</v>
      </c>
      <c r="H26">
        <f>I8+I9+I10+I11</f>
        <v>134.80139021087473</v>
      </c>
      <c r="I26">
        <f t="shared" si="2"/>
        <v>46.073559972422082</v>
      </c>
    </row>
    <row r="27" spans="1:9" x14ac:dyDescent="0.25">
      <c r="B27">
        <v>1970</v>
      </c>
      <c r="C27">
        <f>H8+H9+H10+H11</f>
        <v>192.88</v>
      </c>
      <c r="D27">
        <f>sources_consumption!D28</f>
        <v>26445.714285714286</v>
      </c>
      <c r="F27">
        <f>(D27/D$32)*100</f>
        <v>86.20341673716807</v>
      </c>
      <c r="G27">
        <f>(F27/F$32)*C$32</f>
        <v>86.893044071065418</v>
      </c>
      <c r="H27">
        <f>I8+I9+I10+I11</f>
        <v>134.80139021087473</v>
      </c>
      <c r="I27">
        <f t="shared" si="2"/>
        <v>55.13484612258204</v>
      </c>
    </row>
    <row r="28" spans="1:9" x14ac:dyDescent="0.25">
      <c r="A28" t="s">
        <v>29</v>
      </c>
      <c r="B28" s="1">
        <v>1975</v>
      </c>
      <c r="C28">
        <f>H10+H11</f>
        <v>95.2</v>
      </c>
      <c r="E28">
        <f>_xlfn.FORECAST.LINEAR(B28,D$27:D$32,B$27:B$32)</f>
        <v>27151.139725714311</v>
      </c>
      <c r="F28">
        <f>(E28/D$32)*100</f>
        <v>88.502847280973469</v>
      </c>
      <c r="G28">
        <f>(F28/F$32)*C$32</f>
        <v>89.210870059221264</v>
      </c>
      <c r="H28">
        <f>I10+I11</f>
        <v>84.587778137920722</v>
      </c>
      <c r="I28">
        <f t="shared" si="2"/>
        <v>-5.1822069645006019</v>
      </c>
    </row>
    <row r="29" spans="1:9" x14ac:dyDescent="0.25">
      <c r="B29">
        <v>1980</v>
      </c>
      <c r="C29">
        <f>H10+H11</f>
        <v>95.2</v>
      </c>
      <c r="E29">
        <f>_xlfn.FORECAST.LINEAR(B29,D$27:D$32,B$27:B$32)</f>
        <v>27856.565165714273</v>
      </c>
      <c r="F29">
        <f>(E29/D$32)*100</f>
        <v>90.80227782477867</v>
      </c>
      <c r="G29">
        <f>(F29/F$32)*C$32</f>
        <v>91.528696047376911</v>
      </c>
      <c r="H29">
        <f>I10+I11</f>
        <v>84.587778137920722</v>
      </c>
      <c r="I29">
        <f t="shared" si="2"/>
        <v>-7.583324366233124</v>
      </c>
    </row>
    <row r="30" spans="1:9" x14ac:dyDescent="0.25">
      <c r="B30">
        <v>1982</v>
      </c>
      <c r="C30">
        <f>H11</f>
        <v>85.12</v>
      </c>
      <c r="E30">
        <f>_xlfn.FORECAST.LINEAR(B30,D$27:D$32,B$27:B$32)</f>
        <v>28138.735341714259</v>
      </c>
      <c r="F30">
        <f>(E30/D$32)*100</f>
        <v>91.722050042300751</v>
      </c>
      <c r="G30">
        <f>(F30/F$32)*C$32</f>
        <v>92.455826442639164</v>
      </c>
      <c r="H30">
        <f>I11</f>
        <v>79.765013229421356</v>
      </c>
      <c r="I30">
        <f t="shared" si="2"/>
        <v>-13.726353115334877</v>
      </c>
    </row>
    <row r="31" spans="1:9" x14ac:dyDescent="0.25">
      <c r="A31" t="s">
        <v>30</v>
      </c>
      <c r="B31" s="1">
        <v>1998</v>
      </c>
      <c r="C31">
        <f>H12+H13</f>
        <v>100.80000000000001</v>
      </c>
      <c r="E31">
        <f>_xlfn.FORECAST.LINEAR(B31,D$27:D$32,B$27:B$32)</f>
        <v>30396.096749714314</v>
      </c>
      <c r="F31">
        <f>(E31/D$32)*100</f>
        <v>99.080227782477962</v>
      </c>
      <c r="G31">
        <f>(F31/F$32)*C$32</f>
        <v>99.872869604737787</v>
      </c>
      <c r="H31">
        <f>I12+I13</f>
        <v>100.18191306982519</v>
      </c>
      <c r="I31">
        <f t="shared" si="2"/>
        <v>0.30943685338218341</v>
      </c>
    </row>
    <row r="32" spans="1:9" x14ac:dyDescent="0.25">
      <c r="A32" t="s">
        <v>151</v>
      </c>
      <c r="B32" s="1">
        <v>2000</v>
      </c>
      <c r="C32">
        <f>H12+H13</f>
        <v>100.80000000000001</v>
      </c>
      <c r="D32">
        <f>sources_consumption!D35</f>
        <v>30678.266925714288</v>
      </c>
      <c r="F32">
        <v>100</v>
      </c>
      <c r="G32">
        <f>(F32/F$32)*C$32</f>
        <v>100.80000000000001</v>
      </c>
      <c r="H32">
        <f>I12+I13</f>
        <v>100.18191306982519</v>
      </c>
      <c r="I32">
        <f t="shared" si="2"/>
        <v>-0.61318147834804604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428EB-A208-48DF-A0A9-57FE426D15B7}">
  <dimension ref="A1:I29"/>
  <sheetViews>
    <sheetView workbookViewId="0">
      <selection activeCell="G9" sqref="G9"/>
    </sheetView>
  </sheetViews>
  <sheetFormatPr defaultRowHeight="15" x14ac:dyDescent="0.25"/>
  <cols>
    <col min="1" max="1" width="17" customWidth="1"/>
    <col min="2" max="2" width="13.7109375" customWidth="1"/>
    <col min="3" max="3" width="13" customWidth="1"/>
    <col min="4" max="4" width="19.7109375" customWidth="1"/>
    <col min="5" max="5" width="19.85546875" customWidth="1"/>
    <col min="6" max="6" width="15.28515625" customWidth="1"/>
    <col min="7" max="7" width="15.140625" customWidth="1"/>
    <col min="8" max="8" width="17" customWidth="1"/>
  </cols>
  <sheetData>
    <row r="1" spans="1:9" x14ac:dyDescent="0.25">
      <c r="A1" s="1" t="s">
        <v>12</v>
      </c>
      <c r="B1" s="1" t="s">
        <v>13</v>
      </c>
      <c r="C1" s="1" t="s">
        <v>14</v>
      </c>
      <c r="D1" s="1" t="s">
        <v>15</v>
      </c>
      <c r="E1" s="1" t="s">
        <v>17</v>
      </c>
      <c r="F1" s="1" t="s">
        <v>18</v>
      </c>
      <c r="G1" s="1" t="s">
        <v>19</v>
      </c>
      <c r="H1" s="1" t="s">
        <v>20</v>
      </c>
      <c r="I1" s="1" t="s">
        <v>108</v>
      </c>
    </row>
    <row r="2" spans="1:9" x14ac:dyDescent="0.25">
      <c r="A2" t="s">
        <v>152</v>
      </c>
      <c r="B2">
        <v>1810</v>
      </c>
      <c r="C2">
        <v>1860</v>
      </c>
      <c r="D2">
        <f xml:space="preserve"> (B2+C2)/2</f>
        <v>1835</v>
      </c>
      <c r="E2">
        <v>8</v>
      </c>
      <c r="F2">
        <v>4</v>
      </c>
      <c r="G2">
        <v>33</v>
      </c>
      <c r="H2">
        <f xml:space="preserve"> E2*F2*G2/100</f>
        <v>10.56</v>
      </c>
      <c r="I2">
        <f>(G$17/C$17)*H2</f>
        <v>13.241864963608879</v>
      </c>
    </row>
    <row r="3" spans="1:9" x14ac:dyDescent="0.25">
      <c r="A3" t="s">
        <v>153</v>
      </c>
      <c r="B3">
        <v>1861</v>
      </c>
      <c r="C3">
        <v>1900</v>
      </c>
      <c r="D3">
        <f t="shared" ref="D3:D5" si="0" xml:space="preserve"> (B3+C3)/2</f>
        <v>1880.5</v>
      </c>
      <c r="E3">
        <v>28</v>
      </c>
      <c r="F3">
        <v>4</v>
      </c>
      <c r="G3">
        <v>33</v>
      </c>
      <c r="H3">
        <f t="shared" ref="H3:H5" si="1" xml:space="preserve"> E3*F3*G3/100</f>
        <v>36.96</v>
      </c>
      <c r="I3">
        <f>(G$18/C$18)*H3</f>
        <v>37.077221898104817</v>
      </c>
    </row>
    <row r="4" spans="1:9" x14ac:dyDescent="0.25">
      <c r="A4" t="s">
        <v>154</v>
      </c>
      <c r="B4">
        <v>1900</v>
      </c>
      <c r="C4">
        <v>1945</v>
      </c>
      <c r="D4">
        <f t="shared" si="0"/>
        <v>1922.5</v>
      </c>
      <c r="E4">
        <v>45</v>
      </c>
      <c r="F4">
        <v>8</v>
      </c>
      <c r="G4">
        <v>33</v>
      </c>
      <c r="H4">
        <f t="shared" si="1"/>
        <v>118.8</v>
      </c>
      <c r="I4">
        <f>(G$19/C$19)*H4</f>
        <v>59.853229635512079</v>
      </c>
    </row>
    <row r="5" spans="1:9" x14ac:dyDescent="0.25">
      <c r="A5" t="s">
        <v>155</v>
      </c>
      <c r="B5">
        <v>1945</v>
      </c>
      <c r="C5">
        <v>1975</v>
      </c>
      <c r="D5">
        <f t="shared" si="0"/>
        <v>1960</v>
      </c>
      <c r="E5">
        <v>24</v>
      </c>
      <c r="F5">
        <v>8</v>
      </c>
      <c r="G5">
        <v>33</v>
      </c>
      <c r="H5">
        <f t="shared" si="1"/>
        <v>63.36</v>
      </c>
      <c r="I5">
        <f>(G$21/C$21)*H5</f>
        <v>66.272082471900262</v>
      </c>
    </row>
    <row r="6" spans="1:9" x14ac:dyDescent="0.25">
      <c r="A6" t="s">
        <v>31</v>
      </c>
      <c r="B6">
        <v>1951</v>
      </c>
      <c r="C6">
        <v>1982</v>
      </c>
      <c r="D6">
        <f xml:space="preserve"> (B6+C6)/2</f>
        <v>1966.5</v>
      </c>
      <c r="E6">
        <v>9</v>
      </c>
      <c r="F6">
        <v>7</v>
      </c>
      <c r="G6">
        <v>20</v>
      </c>
      <c r="H6">
        <f xml:space="preserve"> E6*F6*G6/100</f>
        <v>12.6</v>
      </c>
      <c r="I6">
        <f>(G$22/C$22)*H6</f>
        <v>13.179107309752892</v>
      </c>
    </row>
    <row r="7" spans="1:9" x14ac:dyDescent="0.25">
      <c r="A7" t="s">
        <v>29</v>
      </c>
      <c r="B7">
        <v>1961</v>
      </c>
      <c r="C7">
        <v>1990</v>
      </c>
      <c r="D7">
        <f xml:space="preserve"> (B7+C7)/2</f>
        <v>1975.5</v>
      </c>
      <c r="E7">
        <f>dist_calculations!E$24</f>
        <v>38</v>
      </c>
      <c r="F7">
        <v>14</v>
      </c>
      <c r="G7">
        <v>20</v>
      </c>
      <c r="H7">
        <f xml:space="preserve"> E7*F7*G7/100</f>
        <v>106.4</v>
      </c>
      <c r="I7">
        <f>(G$24/C$24)*H7</f>
        <v>61.284797313094742</v>
      </c>
    </row>
    <row r="8" spans="1:9" x14ac:dyDescent="0.25">
      <c r="A8" t="s">
        <v>156</v>
      </c>
      <c r="B8">
        <v>1975</v>
      </c>
      <c r="C8">
        <v>2010</v>
      </c>
      <c r="D8">
        <f xml:space="preserve"> (B8+C8)/2</f>
        <v>1992.5</v>
      </c>
      <c r="E8">
        <f>dist_calculations!E$26</f>
        <v>11</v>
      </c>
      <c r="F8">
        <v>8</v>
      </c>
      <c r="G8">
        <v>26</v>
      </c>
      <c r="H8">
        <f xml:space="preserve"> E8*F8*G8/100</f>
        <v>22.88</v>
      </c>
      <c r="I8">
        <f>(G$27/C$27)*H8</f>
        <v>19.732543037656392</v>
      </c>
    </row>
    <row r="9" spans="1:9" x14ac:dyDescent="0.25">
      <c r="A9" t="s">
        <v>224</v>
      </c>
      <c r="B9">
        <v>1975</v>
      </c>
      <c r="C9">
        <v>2010</v>
      </c>
      <c r="D9">
        <f xml:space="preserve"> (B9+C9)/2</f>
        <v>1992.5</v>
      </c>
      <c r="E9">
        <v>18</v>
      </c>
      <c r="F9">
        <v>32</v>
      </c>
      <c r="G9">
        <v>10</v>
      </c>
      <c r="H9">
        <f xml:space="preserve"> E9*F9*G9/100</f>
        <v>57.6</v>
      </c>
      <c r="I9">
        <f>(G$27/C$27)*H9</f>
        <v>49.676332122771335</v>
      </c>
    </row>
    <row r="10" spans="1:9" x14ac:dyDescent="0.25">
      <c r="A10" t="s">
        <v>30</v>
      </c>
      <c r="B10">
        <v>1985</v>
      </c>
      <c r="C10">
        <v>2010</v>
      </c>
      <c r="D10">
        <f xml:space="preserve"> (B10+C10)/2</f>
        <v>1997.5</v>
      </c>
      <c r="E10">
        <f>dist_calculations!E$29</f>
        <v>10</v>
      </c>
      <c r="F10">
        <v>42</v>
      </c>
      <c r="G10">
        <v>20</v>
      </c>
      <c r="H10">
        <f xml:space="preserve"> E10*F10*G10/100</f>
        <v>84</v>
      </c>
      <c r="I10">
        <f>(G$28/C$28)*H10</f>
        <v>80.698471717821477</v>
      </c>
    </row>
    <row r="11" spans="1:9" x14ac:dyDescent="0.25">
      <c r="A11" t="s">
        <v>151</v>
      </c>
      <c r="B11">
        <v>1990</v>
      </c>
      <c r="C11">
        <v>2010</v>
      </c>
      <c r="D11">
        <f xml:space="preserve"> (B11+C11)/2</f>
        <v>2000</v>
      </c>
      <c r="E11">
        <f>dist_calculations!E$28</f>
        <v>15</v>
      </c>
      <c r="F11">
        <f>42/3</f>
        <v>14</v>
      </c>
      <c r="G11">
        <v>20</v>
      </c>
      <c r="H11">
        <f xml:space="preserve"> E11*F11*G11/100</f>
        <v>42</v>
      </c>
      <c r="I11">
        <f>(G$29/C$29)*H11</f>
        <v>42</v>
      </c>
    </row>
    <row r="13" spans="1:9" x14ac:dyDescent="0.25">
      <c r="B13" s="1" t="s">
        <v>28</v>
      </c>
    </row>
    <row r="14" spans="1:9" x14ac:dyDescent="0.25">
      <c r="A14" t="s">
        <v>66</v>
      </c>
      <c r="B14" s="1" t="s">
        <v>0</v>
      </c>
      <c r="C14" s="1" t="s">
        <v>37</v>
      </c>
      <c r="D14" s="1" t="s">
        <v>38</v>
      </c>
      <c r="E14" s="1" t="s">
        <v>39</v>
      </c>
      <c r="F14" s="1" t="s">
        <v>40</v>
      </c>
      <c r="G14" s="1" t="s">
        <v>41</v>
      </c>
      <c r="H14" s="1" t="s">
        <v>109</v>
      </c>
      <c r="I14" s="1" t="s">
        <v>201</v>
      </c>
    </row>
    <row r="16" spans="1:9" x14ac:dyDescent="0.25">
      <c r="B16" s="11">
        <v>1810</v>
      </c>
      <c r="D16">
        <v>0</v>
      </c>
    </row>
    <row r="17" spans="1:9" x14ac:dyDescent="0.25">
      <c r="A17" t="s">
        <v>225</v>
      </c>
      <c r="B17" s="1">
        <v>1835</v>
      </c>
      <c r="C17">
        <f>H2</f>
        <v>10.56</v>
      </c>
      <c r="E17">
        <f>_xlfn.FORECAST.LINEAR(B17,D$16:D$23,B$16:B$23)</f>
        <v>2748.2142857142899</v>
      </c>
      <c r="F17">
        <f>(E17/D$29)*100</f>
        <v>6.4131465340996119</v>
      </c>
      <c r="G17">
        <f>(F17/F$29)*C$29</f>
        <v>13.241864963608879</v>
      </c>
      <c r="H17">
        <f>I2</f>
        <v>13.241864963608879</v>
      </c>
      <c r="I17">
        <f>(H17/C17)*100</f>
        <v>125.39644851902348</v>
      </c>
    </row>
    <row r="18" spans="1:9" x14ac:dyDescent="0.25">
      <c r="A18" t="s">
        <v>153</v>
      </c>
      <c r="B18" s="1">
        <v>1880</v>
      </c>
      <c r="C18">
        <f>H3</f>
        <v>36.96</v>
      </c>
      <c r="E18">
        <f>_xlfn.FORECAST.LINEAR(B18,D$16:D$23,B$16:B$23)</f>
        <v>7695</v>
      </c>
      <c r="F18">
        <f>(E18/D$29)*100</f>
        <v>17.956810295478888</v>
      </c>
      <c r="G18">
        <f>(F18/F$29)*C$29</f>
        <v>37.077221898104817</v>
      </c>
      <c r="H18">
        <f>I3</f>
        <v>37.077221898104817</v>
      </c>
      <c r="I18">
        <f>(H18/C18)*100</f>
        <v>100.31715881521865</v>
      </c>
    </row>
    <row r="19" spans="1:9" x14ac:dyDescent="0.25">
      <c r="A19" t="s">
        <v>154</v>
      </c>
      <c r="B19" s="1">
        <v>1923</v>
      </c>
      <c r="C19">
        <f>H4</f>
        <v>118.8</v>
      </c>
      <c r="E19">
        <f>_xlfn.FORECAST.LINEAR(B19,D$16:D$23,B$16:B$23)</f>
        <v>12421.92857142858</v>
      </c>
      <c r="F19">
        <f>(E19/D$29)*100</f>
        <v>28.987422334130219</v>
      </c>
      <c r="G19">
        <f>(F19/F$29)*C$29</f>
        <v>59.853229635512079</v>
      </c>
      <c r="H19">
        <f>I4</f>
        <v>59.853229635512079</v>
      </c>
      <c r="I19">
        <f>(H19/C19)*100</f>
        <v>50.381506427198715</v>
      </c>
    </row>
    <row r="20" spans="1:9" x14ac:dyDescent="0.25">
      <c r="B20">
        <v>1935</v>
      </c>
      <c r="C20">
        <f>H4</f>
        <v>118.8</v>
      </c>
      <c r="E20">
        <f>_xlfn.FORECAST.LINEAR(B20,D$16:D$23,B$16:B$23)</f>
        <v>13741.07142857142</v>
      </c>
      <c r="F20">
        <f>(E20/D$29)*100</f>
        <v>32.065732670497994</v>
      </c>
      <c r="G20">
        <f>(F20/F$29)*C$29</f>
        <v>66.209324818044266</v>
      </c>
      <c r="H20">
        <f>I4</f>
        <v>59.853229635512079</v>
      </c>
      <c r="I20">
        <f>(H20/C20)*100</f>
        <v>50.381506427198715</v>
      </c>
    </row>
    <row r="21" spans="1:9" x14ac:dyDescent="0.25">
      <c r="A21" t="s">
        <v>155</v>
      </c>
      <c r="B21" s="1">
        <v>1960</v>
      </c>
      <c r="C21">
        <f>H5+H6</f>
        <v>75.959999999999994</v>
      </c>
      <c r="E21">
        <f>_xlfn.FORECAST.LINEAR(B21,D$16:D$23,B$16:B$23)</f>
        <v>16489.28571428571</v>
      </c>
      <c r="F21">
        <f>(E21/D$29)*100</f>
        <v>38.478879204597604</v>
      </c>
      <c r="G21">
        <f>(F21/F$29)*C$29</f>
        <v>79.451189781653142</v>
      </c>
      <c r="H21">
        <f>I5+I6</f>
        <v>79.451189781653156</v>
      </c>
      <c r="I21">
        <f>(H21/C21)*100</f>
        <v>104.59608975994361</v>
      </c>
    </row>
    <row r="22" spans="1:9" x14ac:dyDescent="0.25">
      <c r="A22" t="s">
        <v>31</v>
      </c>
      <c r="B22" s="1">
        <v>1960</v>
      </c>
      <c r="C22">
        <f>H5+H6</f>
        <v>75.959999999999994</v>
      </c>
      <c r="E22">
        <f>_xlfn.FORECAST.LINEAR(B22,D$16:D$23,B$16:B$23)</f>
        <v>16489.28571428571</v>
      </c>
      <c r="F22">
        <f>(E22/D$29)*100</f>
        <v>38.478879204597604</v>
      </c>
      <c r="G22">
        <f>(F22/F$29)*C$29</f>
        <v>79.451189781653142</v>
      </c>
      <c r="H22">
        <f>I5+I6</f>
        <v>79.451189781653156</v>
      </c>
      <c r="I22">
        <f>(H22/C22)*100</f>
        <v>104.59608975994361</v>
      </c>
    </row>
    <row r="23" spans="1:9" x14ac:dyDescent="0.25">
      <c r="B23">
        <v>1970</v>
      </c>
      <c r="C23">
        <f>H5+H6+H7</f>
        <v>182.36</v>
      </c>
      <c r="D23">
        <f>sources_consumption!D30</f>
        <v>17588.571428571431</v>
      </c>
      <c r="F23">
        <f>(D23/D$29)*100</f>
        <v>41.044137818237459</v>
      </c>
      <c r="G23">
        <f>(F23/F$29)*C$29</f>
        <v>84.747935767096706</v>
      </c>
      <c r="H23">
        <f>I6+I7</f>
        <v>74.463904622847636</v>
      </c>
      <c r="I23">
        <f>(H23/C23)*100</f>
        <v>40.833463820381461</v>
      </c>
    </row>
    <row r="24" spans="1:9" x14ac:dyDescent="0.25">
      <c r="A24" t="s">
        <v>29</v>
      </c>
      <c r="B24" s="1">
        <v>1975</v>
      </c>
      <c r="C24">
        <f>H5+H6+H7</f>
        <v>182.36</v>
      </c>
      <c r="E24">
        <f>_xlfn.FORECAST.LINEAR(B24,D$23:D$29,B$23:B$29)</f>
        <v>21799.279900952475</v>
      </c>
      <c r="F24">
        <f>(E24/D$29)*100</f>
        <v>50.870114848531436</v>
      </c>
      <c r="G24">
        <f>(F24/F$29)*C$29</f>
        <v>105.03661313924772</v>
      </c>
      <c r="H24">
        <f>I8+I9</f>
        <v>69.408875160427726</v>
      </c>
      <c r="I24">
        <f>(H24/C24)*100</f>
        <v>38.061458192820638</v>
      </c>
    </row>
    <row r="25" spans="1:9" x14ac:dyDescent="0.25">
      <c r="B25">
        <v>1980</v>
      </c>
      <c r="C25">
        <f>H6+H7+H8+H9</f>
        <v>199.48</v>
      </c>
      <c r="E25">
        <f>_xlfn.FORECAST.LINEAR(B25,D$23:D$29,B$23:B$29)</f>
        <v>26009.988373333355</v>
      </c>
      <c r="F25">
        <f>(E25/D$29)*100</f>
        <v>60.696091878825023</v>
      </c>
      <c r="G25">
        <f>(F25/F$29)*C$29</f>
        <v>125.32529051139791</v>
      </c>
      <c r="H25">
        <f>I8+I9</f>
        <v>69.408875160427726</v>
      </c>
      <c r="I25">
        <f>(H25/C25)*100</f>
        <v>34.794904331475699</v>
      </c>
    </row>
    <row r="26" spans="1:9" x14ac:dyDescent="0.25">
      <c r="B26">
        <v>1982</v>
      </c>
      <c r="C26">
        <f>H7+H8+H9</f>
        <v>186.88</v>
      </c>
      <c r="E26">
        <f>_xlfn.FORECAST.LINEAR(B26,D$23:D$29,B$23:B$29)</f>
        <v>27694.271762285847</v>
      </c>
      <c r="F26">
        <f>(E26/D$29)*100</f>
        <v>64.62648269094278</v>
      </c>
      <c r="G26">
        <f>(F26/F$29)*C$29</f>
        <v>133.44076146025867</v>
      </c>
      <c r="H26">
        <f>I7+I8+I9</f>
        <v>130.69367247352247</v>
      </c>
      <c r="I26">
        <f>(H26/C26)*100</f>
        <v>69.934542205437964</v>
      </c>
    </row>
    <row r="27" spans="1:9" x14ac:dyDescent="0.25">
      <c r="A27" t="s">
        <v>226</v>
      </c>
      <c r="B27" s="1">
        <v>1993</v>
      </c>
      <c r="C27">
        <f>H8+H9+H10+H11</f>
        <v>206.48000000000002</v>
      </c>
      <c r="E27">
        <f>_xlfn.FORECAST.LINEAR(B27,D$23:D$29,B$23:B$29)</f>
        <v>36957.83040152397</v>
      </c>
      <c r="F27">
        <f>(E27/D$29)*100</f>
        <v>86.243632157589118</v>
      </c>
      <c r="G27">
        <f>(F27/F$29)*C$29</f>
        <v>178.07585167899003</v>
      </c>
      <c r="H27">
        <f>I8+I9+I10+I11</f>
        <v>192.10734687824919</v>
      </c>
      <c r="I27">
        <f>(H27/C27)*100</f>
        <v>93.039203253704557</v>
      </c>
    </row>
    <row r="28" spans="1:9" x14ac:dyDescent="0.25">
      <c r="A28" t="s">
        <v>30</v>
      </c>
      <c r="B28" s="1">
        <v>1998</v>
      </c>
      <c r="C28">
        <f>H8+H9+H10+H11</f>
        <v>206.48000000000002</v>
      </c>
      <c r="E28">
        <f>_xlfn.FORECAST.LINEAR(B28,D$23:D$29,B$23:B$29)</f>
        <v>41168.53887390485</v>
      </c>
      <c r="F28">
        <f>(E28/D$29)*100</f>
        <v>96.069609187882705</v>
      </c>
      <c r="G28">
        <f>(F28/F$29)*C$29</f>
        <v>198.36452905114024</v>
      </c>
      <c r="H28">
        <f>I8+I9+I10+I11</f>
        <v>192.10734687824919</v>
      </c>
      <c r="I28">
        <f>(H28/C28)*100</f>
        <v>93.039203253704557</v>
      </c>
    </row>
    <row r="29" spans="1:9" x14ac:dyDescent="0.25">
      <c r="A29" t="s">
        <v>151</v>
      </c>
      <c r="B29" s="1">
        <v>2000</v>
      </c>
      <c r="C29">
        <f>H8+H9+H10+H11</f>
        <v>206.48000000000002</v>
      </c>
      <c r="D29">
        <f>sources_consumption!D37</f>
        <v>42852.822262857146</v>
      </c>
      <c r="F29">
        <v>100</v>
      </c>
      <c r="G29">
        <f>(F29/F$29)*C$29</f>
        <v>206.48000000000002</v>
      </c>
      <c r="H29">
        <f>I8+I9+I10+I11</f>
        <v>192.10734687824919</v>
      </c>
      <c r="I29">
        <f>(H29/C29)*100</f>
        <v>93.039203253704557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sources_consumption</vt:lpstr>
      <vt:lpstr>sources_distweight</vt:lpstr>
      <vt:lpstr>dist_calculations</vt:lpstr>
      <vt:lpstr>food summary</vt:lpstr>
      <vt:lpstr>meat</vt:lpstr>
      <vt:lpstr>milk</vt:lpstr>
      <vt:lpstr>fish</vt:lpstr>
      <vt:lpstr>flour</vt:lpstr>
      <vt:lpstr>vegetables</vt:lpstr>
      <vt:lpstr>fruit</vt:lpstr>
      <vt:lpstr>canned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Clarmo</dc:creator>
  <cp:lastModifiedBy>Joe Clarmo</cp:lastModifiedBy>
  <dcterms:created xsi:type="dcterms:W3CDTF">2026-10-08T12:03:47Z</dcterms:created>
  <dcterms:modified xsi:type="dcterms:W3CDTF">2026-10-13T19:05:20Z</dcterms:modified>
</cp:coreProperties>
</file>