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Rideau Truck\Documents\"/>
    </mc:Choice>
  </mc:AlternateContent>
  <xr:revisionPtr revIDLastSave="0" documentId="13_ncr:1_{C6137392-5561-424C-BFE3-FB356C7D0AEB}" xr6:coauthVersionLast="47" xr6:coauthVersionMax="47" xr10:uidLastSave="{00000000-0000-0000-0000-000000000000}"/>
  <bookViews>
    <workbookView xWindow="14295" yWindow="0" windowWidth="14610" windowHeight="15585" firstSheet="2" activeTab="2" xr2:uid="{5E28C574-94B7-40B9-9081-619E63A6A598}"/>
  </bookViews>
  <sheets>
    <sheet name="sources_consumption" sheetId="1" r:id="rId1"/>
    <sheet name="sources_distweight" sheetId="9" r:id="rId2"/>
    <sheet name="dist_calculations" sheetId="10" r:id="rId3"/>
    <sheet name="food summary" sheetId="8" r:id="rId4"/>
    <sheet name="meat" sheetId="2" r:id="rId5"/>
    <sheet name="milk" sheetId="7" r:id="rId6"/>
    <sheet name="fish" sheetId="3" r:id="rId7"/>
    <sheet name="flour" sheetId="4" r:id="rId8"/>
    <sheet name="vegetables" sheetId="5" r:id="rId9"/>
    <sheet name="fruit" sheetId="6" r:id="rId10"/>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58" i="8" l="1"/>
  <c r="E11" i="6"/>
  <c r="E11" i="5"/>
  <c r="E11" i="4"/>
  <c r="E11" i="3"/>
  <c r="H11" i="3" s="1"/>
  <c r="E6" i="7"/>
  <c r="E11" i="2"/>
  <c r="E13" i="6"/>
  <c r="H13" i="6" s="1"/>
  <c r="H30" i="8" s="1"/>
  <c r="E12" i="6"/>
  <c r="E13" i="5"/>
  <c r="H13" i="5" s="1"/>
  <c r="G30" i="8" s="1"/>
  <c r="E12" i="5"/>
  <c r="E13" i="4"/>
  <c r="H13" i="4" s="1"/>
  <c r="F30" i="8" s="1"/>
  <c r="E12" i="4"/>
  <c r="E13" i="3"/>
  <c r="H13" i="3" s="1"/>
  <c r="E12" i="3"/>
  <c r="E12" i="2"/>
  <c r="E13" i="2"/>
  <c r="E5" i="7"/>
  <c r="H6" i="7"/>
  <c r="C26" i="7" s="1"/>
  <c r="E9" i="7"/>
  <c r="E8" i="7"/>
  <c r="C60" i="8"/>
  <c r="C61" i="8"/>
  <c r="H11" i="2"/>
  <c r="H13" i="2"/>
  <c r="C4" i="10"/>
  <c r="H12" i="9"/>
  <c r="H14" i="9"/>
  <c r="H17" i="9"/>
  <c r="F12" i="9"/>
  <c r="H24" i="9"/>
  <c r="D13" i="10"/>
  <c r="C13" i="10"/>
  <c r="H36" i="9"/>
  <c r="E36" i="9"/>
  <c r="F61" i="9"/>
  <c r="F56" i="9"/>
  <c r="F58" i="9"/>
  <c r="F59" i="9"/>
  <c r="F60" i="9"/>
  <c r="H29" i="9"/>
  <c r="E29" i="9"/>
  <c r="C61" i="9"/>
  <c r="C60" i="9"/>
  <c r="C59" i="9"/>
  <c r="C58" i="9"/>
  <c r="D29" i="9"/>
  <c r="C57" i="9"/>
  <c r="C56" i="9"/>
  <c r="C55" i="9"/>
  <c r="C51" i="9"/>
  <c r="D8" i="9"/>
  <c r="F19" i="9"/>
  <c r="H19" i="9" s="1"/>
  <c r="H15" i="9"/>
  <c r="H16" i="9"/>
  <c r="H18" i="9"/>
  <c r="D17" i="9"/>
  <c r="D28" i="8"/>
  <c r="G28" i="7"/>
  <c r="F28" i="7"/>
  <c r="E28" i="7"/>
  <c r="H7" i="7"/>
  <c r="D7" i="7"/>
  <c r="H12" i="4"/>
  <c r="H12" i="5"/>
  <c r="I18" i="6"/>
  <c r="I19" i="6"/>
  <c r="I20" i="6"/>
  <c r="I21" i="6"/>
  <c r="I22" i="6"/>
  <c r="I23" i="6"/>
  <c r="I24" i="6"/>
  <c r="H12" i="6"/>
  <c r="F12" i="6"/>
  <c r="D12" i="6"/>
  <c r="F12" i="4"/>
  <c r="D12" i="4"/>
  <c r="F12" i="5"/>
  <c r="D12" i="5"/>
  <c r="H12" i="3"/>
  <c r="F12" i="3"/>
  <c r="D12" i="3"/>
  <c r="F8" i="7"/>
  <c r="H8" i="7"/>
  <c r="D8" i="7"/>
  <c r="G35" i="2"/>
  <c r="F35" i="2"/>
  <c r="E35" i="2"/>
  <c r="H12" i="2"/>
  <c r="C29" i="8" s="1"/>
  <c r="F12" i="2"/>
  <c r="D12" i="2"/>
  <c r="F10" i="10"/>
  <c r="C10" i="10"/>
  <c r="C11" i="10"/>
  <c r="H35" i="9"/>
  <c r="H5" i="7"/>
  <c r="D5" i="7"/>
  <c r="D26" i="9"/>
  <c r="H32" i="9"/>
  <c r="C9" i="10" s="1"/>
  <c r="D33" i="9"/>
  <c r="E33" i="9"/>
  <c r="H33" i="9" s="1"/>
  <c r="C12" i="10" s="1"/>
  <c r="C40" i="9"/>
  <c r="E25" i="9"/>
  <c r="H25" i="9" s="1"/>
  <c r="C8" i="10" s="1"/>
  <c r="H31" i="9"/>
  <c r="D30" i="7"/>
  <c r="D21" i="7"/>
  <c r="D25" i="7"/>
  <c r="D19" i="7"/>
  <c r="D16" i="7"/>
  <c r="D13" i="7"/>
  <c r="D28" i="3"/>
  <c r="D39" i="3"/>
  <c r="D33" i="3"/>
  <c r="E35" i="3" s="1"/>
  <c r="D24" i="6"/>
  <c r="F13" i="8"/>
  <c r="F7" i="8"/>
  <c r="F9" i="8"/>
  <c r="F3" i="8"/>
  <c r="C26" i="8"/>
  <c r="C25" i="8"/>
  <c r="C21" i="8"/>
  <c r="C20" i="8"/>
  <c r="C15" i="8"/>
  <c r="C14" i="8"/>
  <c r="C9" i="8"/>
  <c r="C3" i="8"/>
  <c r="I14" i="8"/>
  <c r="I9" i="8"/>
  <c r="I8" i="8"/>
  <c r="I3" i="8"/>
  <c r="O3" i="8" s="1"/>
  <c r="D10" i="1"/>
  <c r="D25" i="5"/>
  <c r="H23" i="2"/>
  <c r="H22" i="2"/>
  <c r="H21" i="2"/>
  <c r="H20" i="2"/>
  <c r="H19" i="2"/>
  <c r="H18" i="2"/>
  <c r="H17" i="2"/>
  <c r="D26" i="2"/>
  <c r="D17" i="1"/>
  <c r="D18" i="1"/>
  <c r="D19" i="1"/>
  <c r="D20" i="1"/>
  <c r="D21" i="1"/>
  <c r="D22" i="1"/>
  <c r="D16" i="1"/>
  <c r="D3" i="1"/>
  <c r="D17" i="4" s="1"/>
  <c r="D8" i="1"/>
  <c r="D21" i="4" s="1"/>
  <c r="D15" i="1"/>
  <c r="D14" i="1"/>
  <c r="D23" i="5" s="1"/>
  <c r="D13" i="1"/>
  <c r="D23" i="4" s="1"/>
  <c r="D12" i="1"/>
  <c r="D25" i="3" s="1"/>
  <c r="D11" i="1"/>
  <c r="D24" i="2" s="1"/>
  <c r="D27" i="1"/>
  <c r="D27" i="6" s="1"/>
  <c r="D21" i="6"/>
  <c r="E23" i="6" s="1"/>
  <c r="D13" i="6"/>
  <c r="H11" i="6"/>
  <c r="D11" i="6"/>
  <c r="H10" i="6"/>
  <c r="D10" i="6"/>
  <c r="H9" i="6"/>
  <c r="H23" i="8" s="1"/>
  <c r="D9" i="6"/>
  <c r="H8" i="6"/>
  <c r="D8" i="6"/>
  <c r="H7" i="6"/>
  <c r="H18" i="8" s="1"/>
  <c r="D7" i="6"/>
  <c r="H6" i="6"/>
  <c r="D6" i="6"/>
  <c r="H5" i="6"/>
  <c r="H12" i="8" s="1"/>
  <c r="D5" i="6"/>
  <c r="H4" i="6"/>
  <c r="D4" i="6"/>
  <c r="H3" i="6"/>
  <c r="D3" i="6"/>
  <c r="H2" i="6"/>
  <c r="D2" i="6"/>
  <c r="H9" i="7"/>
  <c r="D30" i="8" s="1"/>
  <c r="D9" i="7"/>
  <c r="D6" i="7"/>
  <c r="H4" i="7"/>
  <c r="D4" i="7"/>
  <c r="H3" i="7"/>
  <c r="D3" i="7"/>
  <c r="H2" i="7"/>
  <c r="D2" i="7"/>
  <c r="D34" i="1"/>
  <c r="D28" i="1"/>
  <c r="D6" i="1"/>
  <c r="D5" i="1"/>
  <c r="D9" i="1"/>
  <c r="D21" i="5" s="1"/>
  <c r="D4" i="1"/>
  <c r="D13" i="5"/>
  <c r="H11" i="5"/>
  <c r="D11" i="5"/>
  <c r="H10" i="5"/>
  <c r="D10" i="5"/>
  <c r="H9" i="5"/>
  <c r="G23" i="8" s="1"/>
  <c r="D9" i="5"/>
  <c r="H8" i="5"/>
  <c r="D8" i="5"/>
  <c r="H7" i="5"/>
  <c r="G18" i="8" s="1"/>
  <c r="D7" i="5"/>
  <c r="H6" i="5"/>
  <c r="D6" i="5"/>
  <c r="H5" i="5"/>
  <c r="G12" i="8" s="1"/>
  <c r="D5" i="5"/>
  <c r="H4" i="5"/>
  <c r="D4" i="5"/>
  <c r="H3" i="5"/>
  <c r="G6" i="8" s="1"/>
  <c r="D3" i="5"/>
  <c r="H2" i="5"/>
  <c r="D2" i="5"/>
  <c r="D9" i="4"/>
  <c r="D7" i="4"/>
  <c r="H9" i="4"/>
  <c r="F24" i="8" s="1"/>
  <c r="D13" i="4"/>
  <c r="H11" i="4"/>
  <c r="F27" i="8" s="1"/>
  <c r="H10" i="4"/>
  <c r="D10" i="4"/>
  <c r="H8" i="4"/>
  <c r="D8" i="4"/>
  <c r="H7" i="4"/>
  <c r="F19" i="8" s="1"/>
  <c r="H6" i="4"/>
  <c r="F15" i="8" s="1"/>
  <c r="D6" i="4"/>
  <c r="H5" i="4"/>
  <c r="D5" i="4"/>
  <c r="H4" i="4"/>
  <c r="D4" i="4"/>
  <c r="H3" i="4"/>
  <c r="D3" i="4"/>
  <c r="H2" i="4"/>
  <c r="D2" i="4"/>
  <c r="D29" i="1"/>
  <c r="D26" i="1"/>
  <c r="D28" i="5" s="1"/>
  <c r="D25" i="1"/>
  <c r="D30" i="4" s="1"/>
  <c r="D24" i="1"/>
  <c r="D13" i="3"/>
  <c r="D11" i="3"/>
  <c r="H10" i="3"/>
  <c r="D10" i="3"/>
  <c r="H9" i="3"/>
  <c r="D9" i="3"/>
  <c r="H8" i="3"/>
  <c r="D8" i="3"/>
  <c r="H7" i="3"/>
  <c r="D7" i="3"/>
  <c r="H6" i="3"/>
  <c r="C28" i="3" s="1"/>
  <c r="D6" i="3"/>
  <c r="H5" i="3"/>
  <c r="D5" i="3"/>
  <c r="H4" i="3"/>
  <c r="D4" i="3"/>
  <c r="H3" i="3"/>
  <c r="D3" i="3"/>
  <c r="H2" i="3"/>
  <c r="D2" i="3"/>
  <c r="D23" i="1"/>
  <c r="D31" i="2" s="1"/>
  <c r="D7" i="1"/>
  <c r="D22" i="2" s="1"/>
  <c r="D2" i="1"/>
  <c r="D18" i="2" s="1"/>
  <c r="D7" i="2"/>
  <c r="H10" i="2"/>
  <c r="H9" i="2"/>
  <c r="H8" i="2"/>
  <c r="H7" i="2"/>
  <c r="H6" i="2"/>
  <c r="H5" i="2"/>
  <c r="H4" i="2"/>
  <c r="C22" i="2" s="1"/>
  <c r="G23" i="2" s="1"/>
  <c r="H3" i="2"/>
  <c r="C8" i="8" s="1"/>
  <c r="D13" i="2"/>
  <c r="D11" i="2"/>
  <c r="D10" i="2"/>
  <c r="D9" i="2"/>
  <c r="D8" i="2"/>
  <c r="D6" i="2"/>
  <c r="D5" i="2"/>
  <c r="D4" i="2"/>
  <c r="D3" i="2"/>
  <c r="H2" i="2"/>
  <c r="C18" i="2" s="1"/>
  <c r="D2" i="2"/>
  <c r="C31" i="6" l="1"/>
  <c r="H29" i="8"/>
  <c r="C32" i="6"/>
  <c r="I12" i="6" s="1"/>
  <c r="N29" i="8" s="1"/>
  <c r="T29" i="8" s="1"/>
  <c r="C32" i="5"/>
  <c r="G29" i="8"/>
  <c r="C33" i="5"/>
  <c r="I12" i="5" s="1"/>
  <c r="M29" i="8" s="1"/>
  <c r="S29" i="8" s="1"/>
  <c r="C36" i="4"/>
  <c r="I12" i="4" s="1"/>
  <c r="L29" i="8" s="1"/>
  <c r="C35" i="4"/>
  <c r="F29" i="8"/>
  <c r="C28" i="7"/>
  <c r="I7" i="7" s="1"/>
  <c r="J28" i="8"/>
  <c r="P28" i="8" s="1"/>
  <c r="B28" i="8" s="1"/>
  <c r="E59" i="8" s="1"/>
  <c r="N59" i="8" s="1"/>
  <c r="C33" i="2"/>
  <c r="C30" i="2"/>
  <c r="C27" i="8"/>
  <c r="C32" i="2"/>
  <c r="C34" i="2"/>
  <c r="C30" i="8"/>
  <c r="C36" i="2"/>
  <c r="C35" i="2"/>
  <c r="I12" i="2" s="1"/>
  <c r="E26" i="9"/>
  <c r="D11" i="10"/>
  <c r="D4" i="10"/>
  <c r="D8" i="10"/>
  <c r="D9" i="10"/>
  <c r="D10" i="10"/>
  <c r="C29" i="7"/>
  <c r="C30" i="7"/>
  <c r="D29" i="8"/>
  <c r="D27" i="8"/>
  <c r="C25" i="7"/>
  <c r="C27" i="7"/>
  <c r="C21" i="7"/>
  <c r="C20" i="7"/>
  <c r="C19" i="7"/>
  <c r="C22" i="7"/>
  <c r="C17" i="7"/>
  <c r="C18" i="7"/>
  <c r="G18" i="7" s="1"/>
  <c r="C15" i="7"/>
  <c r="C14" i="7"/>
  <c r="C13" i="7"/>
  <c r="C12" i="7"/>
  <c r="E26" i="6"/>
  <c r="E25" i="6"/>
  <c r="C18" i="6"/>
  <c r="H3" i="8"/>
  <c r="C17" i="6"/>
  <c r="C30" i="6"/>
  <c r="H27" i="8"/>
  <c r="H26" i="8"/>
  <c r="C29" i="6"/>
  <c r="C28" i="6"/>
  <c r="I11" i="6" s="1"/>
  <c r="H21" i="8"/>
  <c r="C27" i="6"/>
  <c r="C25" i="6"/>
  <c r="C26" i="6"/>
  <c r="C24" i="6"/>
  <c r="H15" i="8"/>
  <c r="C23" i="6"/>
  <c r="H9" i="8"/>
  <c r="C21" i="6"/>
  <c r="C20" i="6"/>
  <c r="C22" i="6"/>
  <c r="H6" i="8"/>
  <c r="C19" i="6"/>
  <c r="F25" i="5"/>
  <c r="E27" i="5"/>
  <c r="E26" i="5"/>
  <c r="E24" i="5"/>
  <c r="F23" i="5"/>
  <c r="G27" i="8"/>
  <c r="C31" i="5"/>
  <c r="C29" i="5"/>
  <c r="G26" i="8"/>
  <c r="C30" i="5"/>
  <c r="C26" i="5"/>
  <c r="G21" i="8"/>
  <c r="C28" i="5"/>
  <c r="C27" i="5"/>
  <c r="G15" i="8"/>
  <c r="C25" i="5"/>
  <c r="C24" i="5"/>
  <c r="C20" i="5"/>
  <c r="G9" i="8"/>
  <c r="C21" i="5"/>
  <c r="C23" i="5"/>
  <c r="C22" i="5"/>
  <c r="G22" i="5" s="1"/>
  <c r="G3" i="8"/>
  <c r="C19" i="5"/>
  <c r="O8" i="8"/>
  <c r="B8" i="8" s="1"/>
  <c r="E39" i="8" s="1"/>
  <c r="M39" i="8" s="1"/>
  <c r="C32" i="4"/>
  <c r="F26" i="8"/>
  <c r="C31" i="4"/>
  <c r="F21" i="8"/>
  <c r="C28" i="4"/>
  <c r="C39" i="3"/>
  <c r="C38" i="3"/>
  <c r="C37" i="3"/>
  <c r="C36" i="3"/>
  <c r="C35" i="3"/>
  <c r="C34" i="3"/>
  <c r="C33" i="3"/>
  <c r="C32" i="3"/>
  <c r="C31" i="3"/>
  <c r="C30" i="3"/>
  <c r="C29" i="3"/>
  <c r="E32" i="3"/>
  <c r="E31" i="3"/>
  <c r="E30" i="3"/>
  <c r="E29" i="3"/>
  <c r="E27" i="3"/>
  <c r="E26" i="3"/>
  <c r="C27" i="3"/>
  <c r="C26" i="3"/>
  <c r="C25" i="3"/>
  <c r="C24" i="3"/>
  <c r="C23" i="3"/>
  <c r="C22" i="3"/>
  <c r="C18" i="3"/>
  <c r="C21" i="3"/>
  <c r="C20" i="3"/>
  <c r="C19" i="3"/>
  <c r="C17" i="3"/>
  <c r="D26" i="8"/>
  <c r="C24" i="7"/>
  <c r="C23" i="7"/>
  <c r="E24" i="7"/>
  <c r="E27" i="7"/>
  <c r="E29" i="7"/>
  <c r="E26" i="7"/>
  <c r="E23" i="7"/>
  <c r="E22" i="7"/>
  <c r="E20" i="7"/>
  <c r="E18" i="7"/>
  <c r="E17" i="7"/>
  <c r="F13" i="7"/>
  <c r="G13" i="7" s="1"/>
  <c r="I2" i="7" s="1"/>
  <c r="E15" i="7"/>
  <c r="E14" i="7"/>
  <c r="O14" i="8"/>
  <c r="B14" i="8" s="1"/>
  <c r="E45" i="8" s="1"/>
  <c r="M45" i="8" s="1"/>
  <c r="O9" i="8"/>
  <c r="E28" i="9"/>
  <c r="H28" i="9" s="1"/>
  <c r="E23" i="9"/>
  <c r="E24" i="9"/>
  <c r="C5" i="10" s="1"/>
  <c r="D5" i="10" s="1"/>
  <c r="E21" i="9"/>
  <c r="H21" i="9" s="1"/>
  <c r="C6" i="10" s="1"/>
  <c r="D6" i="10" s="1"/>
  <c r="E38" i="3"/>
  <c r="E37" i="3"/>
  <c r="E34" i="3"/>
  <c r="E36" i="3"/>
  <c r="C34" i="4"/>
  <c r="C33" i="4"/>
  <c r="C29" i="4"/>
  <c r="C27" i="4"/>
  <c r="C30" i="4"/>
  <c r="C26" i="4"/>
  <c r="C24" i="4"/>
  <c r="C25" i="4"/>
  <c r="C22" i="4"/>
  <c r="C20" i="4"/>
  <c r="C23" i="4"/>
  <c r="C21" i="4"/>
  <c r="C19" i="4"/>
  <c r="E30" i="2"/>
  <c r="E28" i="2"/>
  <c r="E25" i="2"/>
  <c r="E29" i="2"/>
  <c r="E27" i="2"/>
  <c r="C29" i="2"/>
  <c r="C27" i="2"/>
  <c r="C31" i="2"/>
  <c r="C26" i="2"/>
  <c r="C25" i="2"/>
  <c r="C24" i="2"/>
  <c r="E22" i="4"/>
  <c r="F23" i="4" s="1"/>
  <c r="E24" i="4"/>
  <c r="E22" i="5"/>
  <c r="F21" i="5" s="1"/>
  <c r="E24" i="3"/>
  <c r="E23" i="2"/>
  <c r="D18" i="5"/>
  <c r="D18" i="6"/>
  <c r="D36" i="2"/>
  <c r="D33" i="1"/>
  <c r="D32" i="6" s="1"/>
  <c r="E22" i="6"/>
  <c r="E20" i="6"/>
  <c r="E19" i="6"/>
  <c r="F18" i="5"/>
  <c r="E17" i="4"/>
  <c r="F17" i="4" s="1"/>
  <c r="E21" i="4"/>
  <c r="F21" i="4" s="1"/>
  <c r="E26" i="4"/>
  <c r="E29" i="4"/>
  <c r="E28" i="4"/>
  <c r="E27" i="4"/>
  <c r="E25" i="4"/>
  <c r="E20" i="4"/>
  <c r="E19" i="4"/>
  <c r="C18" i="5"/>
  <c r="C17" i="5"/>
  <c r="C18" i="4"/>
  <c r="C17" i="4"/>
  <c r="C16" i="4"/>
  <c r="E18" i="4"/>
  <c r="D31" i="1"/>
  <c r="D36" i="4" s="1"/>
  <c r="D32" i="1"/>
  <c r="D33" i="5" s="1"/>
  <c r="D30" i="1"/>
  <c r="C23" i="2"/>
  <c r="C21" i="2"/>
  <c r="C20" i="2"/>
  <c r="C19" i="2"/>
  <c r="C17" i="2"/>
  <c r="E20" i="2"/>
  <c r="E21" i="2"/>
  <c r="E19" i="2"/>
  <c r="C28" i="2"/>
  <c r="R29" i="8" l="1"/>
  <c r="I13" i="2"/>
  <c r="F17" i="9"/>
  <c r="F8" i="9"/>
  <c r="H8" i="9" s="1"/>
  <c r="C2" i="10" s="1"/>
  <c r="D2" i="10" s="1"/>
  <c r="H26" i="9"/>
  <c r="C7" i="10" s="1"/>
  <c r="D7" i="10" s="1"/>
  <c r="F14" i="9"/>
  <c r="H23" i="9"/>
  <c r="F20" i="9"/>
  <c r="H20" i="9" s="1"/>
  <c r="G18" i="6"/>
  <c r="I2" i="6" s="1"/>
  <c r="F18" i="6"/>
  <c r="F24" i="6"/>
  <c r="G24" i="6"/>
  <c r="G22" i="6"/>
  <c r="G18" i="5"/>
  <c r="I2" i="5" s="1"/>
  <c r="G25" i="5"/>
  <c r="G23" i="5"/>
  <c r="G36" i="4"/>
  <c r="G33" i="4"/>
  <c r="G31" i="4"/>
  <c r="I11" i="4" s="1"/>
  <c r="G29" i="4"/>
  <c r="I10" i="4" s="1"/>
  <c r="G27" i="4"/>
  <c r="G24" i="4"/>
  <c r="G22" i="4"/>
  <c r="G19" i="4"/>
  <c r="G26" i="4"/>
  <c r="G18" i="4"/>
  <c r="G35" i="4"/>
  <c r="I13" i="4" s="1"/>
  <c r="G34" i="4"/>
  <c r="G32" i="4"/>
  <c r="G30" i="4"/>
  <c r="G28" i="4"/>
  <c r="G25" i="4"/>
  <c r="G23" i="4"/>
  <c r="G21" i="4"/>
  <c r="G20" i="4"/>
  <c r="G17" i="4"/>
  <c r="I2" i="4" s="1"/>
  <c r="L3" i="8" s="1"/>
  <c r="R3" i="8" s="1"/>
  <c r="F24" i="7"/>
  <c r="G24" i="7" s="1"/>
  <c r="I5" i="7" s="1"/>
  <c r="F30" i="7"/>
  <c r="G30" i="7" s="1"/>
  <c r="I8" i="7" s="1"/>
  <c r="F19" i="7"/>
  <c r="G19" i="7" s="1"/>
  <c r="F21" i="7"/>
  <c r="G21" i="7" s="1"/>
  <c r="F25" i="7"/>
  <c r="G25" i="7" s="1"/>
  <c r="F16" i="7"/>
  <c r="G16" i="7" s="1"/>
  <c r="H13" i="7"/>
  <c r="H12" i="7"/>
  <c r="H14" i="7"/>
  <c r="F19" i="6"/>
  <c r="G19" i="6" s="1"/>
  <c r="I3" i="6" s="1"/>
  <c r="H18" i="6"/>
  <c r="N3" i="8"/>
  <c r="T3" i="8" s="1"/>
  <c r="I3" i="4"/>
  <c r="L7" i="8" s="1"/>
  <c r="R7" i="8" s="1"/>
  <c r="B7" i="8" s="1"/>
  <c r="F30" i="2"/>
  <c r="G30" i="2" s="1"/>
  <c r="F26" i="2"/>
  <c r="G26" i="2" s="1"/>
  <c r="F24" i="2"/>
  <c r="G24" i="2" s="1"/>
  <c r="E20" i="5"/>
  <c r="F20" i="5" s="1"/>
  <c r="G20" i="5" s="1"/>
  <c r="E19" i="5"/>
  <c r="F19" i="5" s="1"/>
  <c r="G19" i="5" s="1"/>
  <c r="I3" i="5" s="1"/>
  <c r="M6" i="8" s="1"/>
  <c r="S6" i="8" s="1"/>
  <c r="E32" i="2"/>
  <c r="F32" i="2" s="1"/>
  <c r="G32" i="2" s="1"/>
  <c r="E34" i="2"/>
  <c r="F34" i="2" s="1"/>
  <c r="G34" i="2" s="1"/>
  <c r="E33" i="2"/>
  <c r="F33" i="2" s="1"/>
  <c r="G33" i="2" s="1"/>
  <c r="F24" i="5"/>
  <c r="G24" i="5" s="1"/>
  <c r="F25" i="2"/>
  <c r="G25" i="2" s="1"/>
  <c r="F20" i="4"/>
  <c r="F20" i="6"/>
  <c r="G20" i="6" s="1"/>
  <c r="F19" i="4"/>
  <c r="E31" i="6"/>
  <c r="E29" i="6"/>
  <c r="E30" i="6"/>
  <c r="F30" i="6" s="1"/>
  <c r="G30" i="6" s="1"/>
  <c r="E28" i="6"/>
  <c r="F28" i="6" s="1"/>
  <c r="G28" i="6" s="1"/>
  <c r="F32" i="6"/>
  <c r="G32" i="6" s="1"/>
  <c r="F29" i="6"/>
  <c r="G29" i="6" s="1"/>
  <c r="F31" i="6"/>
  <c r="G31" i="6" s="1"/>
  <c r="I13" i="6" s="1"/>
  <c r="F25" i="6"/>
  <c r="G25" i="6" s="1"/>
  <c r="I8" i="6" s="1"/>
  <c r="F23" i="6"/>
  <c r="G23" i="6" s="1"/>
  <c r="F26" i="6"/>
  <c r="G26" i="6" s="1"/>
  <c r="F27" i="6"/>
  <c r="G27" i="6" s="1"/>
  <c r="F21" i="6"/>
  <c r="G21" i="6" s="1"/>
  <c r="F33" i="5"/>
  <c r="G33" i="5" s="1"/>
  <c r="F27" i="5"/>
  <c r="G27" i="5" s="1"/>
  <c r="F26" i="5"/>
  <c r="G26" i="5" s="1"/>
  <c r="I8" i="5" s="1"/>
  <c r="F18" i="4"/>
  <c r="F28" i="5"/>
  <c r="G28" i="5" s="1"/>
  <c r="G21" i="5"/>
  <c r="F28" i="4"/>
  <c r="F27" i="4"/>
  <c r="F25" i="4"/>
  <c r="F24" i="4"/>
  <c r="F26" i="4"/>
  <c r="F29" i="4"/>
  <c r="E31" i="4"/>
  <c r="F31" i="4" s="1"/>
  <c r="E34" i="4"/>
  <c r="F34" i="4" s="1"/>
  <c r="E33" i="4"/>
  <c r="F33" i="4" s="1"/>
  <c r="E35" i="4"/>
  <c r="F35" i="4" s="1"/>
  <c r="E32" i="4"/>
  <c r="F32" i="4" s="1"/>
  <c r="E30" i="4"/>
  <c r="F30" i="4" s="1"/>
  <c r="E36" i="4"/>
  <c r="F36" i="4" s="1"/>
  <c r="E30" i="5"/>
  <c r="F30" i="5" s="1"/>
  <c r="G30" i="5" s="1"/>
  <c r="E31" i="5"/>
  <c r="F31" i="5" s="1"/>
  <c r="G31" i="5" s="1"/>
  <c r="E32" i="5"/>
  <c r="F32" i="5" s="1"/>
  <c r="G32" i="5" s="1"/>
  <c r="I13" i="5" s="1"/>
  <c r="E29" i="5"/>
  <c r="F29" i="5" s="1"/>
  <c r="G29" i="5" s="1"/>
  <c r="I11" i="5" s="1"/>
  <c r="F20" i="2"/>
  <c r="G20" i="2" s="1"/>
  <c r="F21" i="2"/>
  <c r="G21" i="2" s="1"/>
  <c r="F19" i="2"/>
  <c r="G19" i="2" s="1"/>
  <c r="F28" i="2"/>
  <c r="G28" i="2" s="1"/>
  <c r="F29" i="2"/>
  <c r="G29" i="2" s="1"/>
  <c r="F27" i="2"/>
  <c r="G27" i="2" s="1"/>
  <c r="F36" i="2"/>
  <c r="G36" i="2" s="1"/>
  <c r="F22" i="2"/>
  <c r="G22" i="2" s="1"/>
  <c r="F31" i="2"/>
  <c r="G31" i="2" s="1"/>
  <c r="I10" i="2" s="1"/>
  <c r="F18" i="2"/>
  <c r="G18" i="2" s="1"/>
  <c r="J29" i="8" l="1"/>
  <c r="P29" i="8" s="1"/>
  <c r="H35" i="2"/>
  <c r="I29" i="8"/>
  <c r="O29" i="8" s="1"/>
  <c r="I30" i="8"/>
  <c r="O30" i="8" s="1"/>
  <c r="L30" i="8"/>
  <c r="R30" i="8" s="1"/>
  <c r="H35" i="4"/>
  <c r="H36" i="4"/>
  <c r="M30" i="8"/>
  <c r="S30" i="8" s="1"/>
  <c r="H33" i="5"/>
  <c r="H32" i="5"/>
  <c r="N30" i="8"/>
  <c r="T30" i="8" s="1"/>
  <c r="H31" i="6"/>
  <c r="I31" i="6" s="1"/>
  <c r="H32" i="6"/>
  <c r="I32" i="6" s="1"/>
  <c r="H18" i="5"/>
  <c r="M3" i="8"/>
  <c r="S3" i="8" s="1"/>
  <c r="B3" i="8" s="1"/>
  <c r="E34" i="8" s="1"/>
  <c r="H19" i="5"/>
  <c r="I4" i="5"/>
  <c r="I5" i="5"/>
  <c r="M12" i="8" s="1"/>
  <c r="S12" i="8" s="1"/>
  <c r="I6" i="5"/>
  <c r="I7" i="5"/>
  <c r="M18" i="8" s="1"/>
  <c r="S18" i="8" s="1"/>
  <c r="I10" i="5"/>
  <c r="I9" i="5"/>
  <c r="M21" i="8"/>
  <c r="S21" i="8" s="1"/>
  <c r="M27" i="8"/>
  <c r="S27" i="8" s="1"/>
  <c r="H31" i="5"/>
  <c r="H34" i="4"/>
  <c r="H33" i="4"/>
  <c r="L27" i="8"/>
  <c r="R27" i="8" s="1"/>
  <c r="H31" i="4"/>
  <c r="L26" i="8"/>
  <c r="R26" i="8" s="1"/>
  <c r="H32" i="4"/>
  <c r="I6" i="4"/>
  <c r="I7" i="4"/>
  <c r="L19" i="8" s="1"/>
  <c r="R19" i="8" s="1"/>
  <c r="B19" i="8" s="1"/>
  <c r="I9" i="4"/>
  <c r="L24" i="8" s="1"/>
  <c r="R24" i="8" s="1"/>
  <c r="B24" i="8" s="1"/>
  <c r="I8" i="4"/>
  <c r="I5" i="4"/>
  <c r="L13" i="8" s="1"/>
  <c r="R13" i="8" s="1"/>
  <c r="B13" i="8" s="1"/>
  <c r="I4" i="4"/>
  <c r="J26" i="8"/>
  <c r="P26" i="8" s="1"/>
  <c r="I11" i="2"/>
  <c r="H36" i="2"/>
  <c r="H34" i="2"/>
  <c r="I27" i="8"/>
  <c r="O27" i="8" s="1"/>
  <c r="I26" i="8"/>
  <c r="O26" i="8" s="1"/>
  <c r="N6" i="8"/>
  <c r="T6" i="8" s="1"/>
  <c r="H19" i="6"/>
  <c r="I5" i="6"/>
  <c r="N12" i="8" s="1"/>
  <c r="T12" i="8" s="1"/>
  <c r="I4" i="6"/>
  <c r="H30" i="6"/>
  <c r="I30" i="6" s="1"/>
  <c r="N27" i="8"/>
  <c r="T27" i="8" s="1"/>
  <c r="N21" i="8"/>
  <c r="T21" i="8" s="1"/>
  <c r="I7" i="6"/>
  <c r="N18" i="8" s="1"/>
  <c r="T18" i="8" s="1"/>
  <c r="I6" i="6"/>
  <c r="H24" i="6" s="1"/>
  <c r="I9" i="6"/>
  <c r="I10" i="6"/>
  <c r="H17" i="4"/>
  <c r="H18" i="4"/>
  <c r="I7" i="2"/>
  <c r="I20" i="8" s="1"/>
  <c r="O20" i="8" s="1"/>
  <c r="B20" i="8" s="1"/>
  <c r="E51" i="8" s="1"/>
  <c r="I6" i="2"/>
  <c r="I15" i="8" s="1"/>
  <c r="O15" i="8" s="1"/>
  <c r="I9" i="2"/>
  <c r="I25" i="8" s="1"/>
  <c r="O25" i="8" s="1"/>
  <c r="B25" i="8" s="1"/>
  <c r="E56" i="8" s="1"/>
  <c r="M56" i="8" s="1"/>
  <c r="I8" i="2"/>
  <c r="H31" i="2" l="1"/>
  <c r="H33" i="2"/>
  <c r="B29" i="8"/>
  <c r="E60" i="8" s="1"/>
  <c r="H20" i="5"/>
  <c r="H22" i="5"/>
  <c r="H23" i="5"/>
  <c r="M9" i="8"/>
  <c r="S9" i="8" s="1"/>
  <c r="H21" i="5"/>
  <c r="H24" i="5"/>
  <c r="H25" i="5"/>
  <c r="M15" i="8"/>
  <c r="S15" i="8" s="1"/>
  <c r="H30" i="5"/>
  <c r="M26" i="8"/>
  <c r="S26" i="8" s="1"/>
  <c r="H29" i="5"/>
  <c r="M23" i="8"/>
  <c r="S23" i="8" s="1"/>
  <c r="H26" i="5"/>
  <c r="H27" i="5"/>
  <c r="H28" i="5"/>
  <c r="L15" i="8"/>
  <c r="R15" i="8" s="1"/>
  <c r="H23" i="4"/>
  <c r="H25" i="4"/>
  <c r="H24" i="4"/>
  <c r="H30" i="4"/>
  <c r="H29" i="4"/>
  <c r="H27" i="4"/>
  <c r="L21" i="8"/>
  <c r="R21" i="8" s="1"/>
  <c r="H28" i="4"/>
  <c r="H26" i="4"/>
  <c r="H20" i="4"/>
  <c r="H22" i="4"/>
  <c r="H19" i="4"/>
  <c r="H21" i="4"/>
  <c r="L9" i="8"/>
  <c r="R9" i="8" s="1"/>
  <c r="I21" i="8"/>
  <c r="O21" i="8" s="1"/>
  <c r="H28" i="2"/>
  <c r="H27" i="2"/>
  <c r="H32" i="2"/>
  <c r="P34" i="8"/>
  <c r="Q34" i="8"/>
  <c r="R34" i="8"/>
  <c r="M34" i="8"/>
  <c r="H26" i="6"/>
  <c r="I26" i="6" s="1"/>
  <c r="B6" i="8"/>
  <c r="E37" i="8" s="1"/>
  <c r="B12" i="8"/>
  <c r="H22" i="6"/>
  <c r="H20" i="6"/>
  <c r="H21" i="6"/>
  <c r="N9" i="8"/>
  <c r="T9" i="8" s="1"/>
  <c r="B18" i="8"/>
  <c r="E49" i="8" s="1"/>
  <c r="H23" i="6"/>
  <c r="N15" i="8"/>
  <c r="T15" i="8" s="1"/>
  <c r="H28" i="6"/>
  <c r="I28" i="6" s="1"/>
  <c r="H29" i="6"/>
  <c r="I29" i="6" s="1"/>
  <c r="N26" i="8"/>
  <c r="T26" i="8" s="1"/>
  <c r="N23" i="8"/>
  <c r="T23" i="8" s="1"/>
  <c r="H25" i="6"/>
  <c r="I25" i="6" s="1"/>
  <c r="H27" i="6"/>
  <c r="I27" i="6" s="1"/>
  <c r="H24" i="2"/>
  <c r="H25" i="2"/>
  <c r="H26" i="2"/>
  <c r="H30" i="2"/>
  <c r="H29" i="2"/>
  <c r="B21" i="8" l="1"/>
  <c r="E52" i="8" s="1"/>
  <c r="B9" i="8"/>
  <c r="E40" i="8" s="1"/>
  <c r="B15" i="8"/>
  <c r="E46" i="8" s="1"/>
  <c r="R37" i="8"/>
  <c r="Q37" i="8"/>
  <c r="R49" i="8"/>
  <c r="Q49" i="8"/>
  <c r="E43" i="8"/>
  <c r="B26" i="8"/>
  <c r="B23" i="8"/>
  <c r="R43" i="8" l="1"/>
  <c r="Q43" i="8"/>
  <c r="R40" i="8"/>
  <c r="Q40" i="8"/>
  <c r="P40" i="8"/>
  <c r="M40" i="8"/>
  <c r="R52" i="8"/>
  <c r="Q52" i="8"/>
  <c r="P52" i="8"/>
  <c r="M52" i="8"/>
  <c r="R46" i="8"/>
  <c r="Q46" i="8"/>
  <c r="P46" i="8"/>
  <c r="M46" i="8"/>
  <c r="E54" i="8"/>
  <c r="E57" i="8"/>
  <c r="F29" i="7"/>
  <c r="G29" i="7" s="1"/>
  <c r="I9" i="7" s="1"/>
  <c r="H28" i="7" s="1"/>
  <c r="F27" i="7"/>
  <c r="G27" i="7" s="1"/>
  <c r="F26" i="7"/>
  <c r="G26" i="7" s="1"/>
  <c r="I6" i="7" s="1"/>
  <c r="F23" i="7"/>
  <c r="G23" i="7" s="1"/>
  <c r="F22" i="7"/>
  <c r="G22" i="7" s="1"/>
  <c r="F17" i="7"/>
  <c r="G17" i="7" s="1"/>
  <c r="I3" i="7" s="1"/>
  <c r="F20" i="7"/>
  <c r="G20" i="7" s="1"/>
  <c r="I4" i="7" s="1"/>
  <c r="F14" i="7"/>
  <c r="G14" i="7" s="1"/>
  <c r="F15" i="7"/>
  <c r="G15" i="7" s="1"/>
  <c r="J30" i="8" l="1"/>
  <c r="P30" i="8" s="1"/>
  <c r="B30" i="8" s="1"/>
  <c r="H30" i="7"/>
  <c r="H27" i="7"/>
  <c r="H29" i="7"/>
  <c r="H24" i="7"/>
  <c r="H25" i="7"/>
  <c r="H23" i="7"/>
  <c r="H18" i="7"/>
  <c r="H17" i="7"/>
  <c r="H16" i="7"/>
  <c r="H15" i="7"/>
  <c r="H20" i="7"/>
  <c r="H22" i="7"/>
  <c r="H21" i="7"/>
  <c r="H19" i="7"/>
  <c r="N57" i="8"/>
  <c r="M57" i="8"/>
  <c r="J27" i="8"/>
  <c r="P27" i="8" s="1"/>
  <c r="H26" i="7"/>
  <c r="R54" i="8"/>
  <c r="Q54" i="8"/>
  <c r="R57" i="8"/>
  <c r="P57" i="8"/>
  <c r="Q57" i="8"/>
  <c r="E61" i="8" l="1"/>
  <c r="B27" i="8"/>
  <c r="E58" i="8" s="1"/>
  <c r="N58" i="8" s="1"/>
  <c r="R61" i="8" l="1"/>
  <c r="Q61" i="8"/>
  <c r="P61" i="8"/>
  <c r="M61" i="8"/>
  <c r="N61" i="8"/>
  <c r="R60" i="8"/>
  <c r="Q60" i="8"/>
  <c r="P60" i="8"/>
  <c r="N60" i="8"/>
  <c r="M60" i="8"/>
  <c r="M58" i="8"/>
  <c r="P58" i="8"/>
  <c r="Q58" i="8"/>
  <c r="R58" i="8"/>
</calcChain>
</file>

<file path=xl/sharedStrings.xml><?xml version="1.0" encoding="utf-8"?>
<sst xmlns="http://schemas.openxmlformats.org/spreadsheetml/2006/main" count="486" uniqueCount="202">
  <si>
    <t>Year</t>
  </si>
  <si>
    <t>Good</t>
  </si>
  <si>
    <t>meat</t>
  </si>
  <si>
    <t>fish</t>
  </si>
  <si>
    <t>flour</t>
  </si>
  <si>
    <t>vegetables</t>
  </si>
  <si>
    <t>fruit</t>
  </si>
  <si>
    <t>Amount</t>
  </si>
  <si>
    <t>Link</t>
  </si>
  <si>
    <t>https://assets.publishing.service.gov.uk/media/5a7f0f7740f0b62305b84d2e/Domestic_Food_Consumption_and_Expenditure_1970_and_1971.pdf</t>
  </si>
  <si>
    <t>9.3. Consumption of Meat – The Industrial Revolution in England was not All Bad</t>
  </si>
  <si>
    <t>Microsoft Word - oct interim report.doc</t>
  </si>
  <si>
    <t>Industry</t>
  </si>
  <si>
    <t>Start year</t>
  </si>
  <si>
    <t>End year</t>
  </si>
  <si>
    <t>Midpoint</t>
  </si>
  <si>
    <t>Market1750</t>
  </si>
  <si>
    <t>distributionweight</t>
  </si>
  <si>
    <t>productivity</t>
  </si>
  <si>
    <t>InputFactor</t>
  </si>
  <si>
    <t>eff. Consumption</t>
  </si>
  <si>
    <t>Butchery1820</t>
  </si>
  <si>
    <t>Market1840</t>
  </si>
  <si>
    <t>Butchery1840</t>
  </si>
  <si>
    <t>Butchery1910</t>
  </si>
  <si>
    <t>Butchery1945</t>
  </si>
  <si>
    <t>Market1910</t>
  </si>
  <si>
    <t>Market1945</t>
  </si>
  <si>
    <t>Timeline</t>
  </si>
  <si>
    <t>Supermarket1960</t>
  </si>
  <si>
    <t>Supermarket1980</t>
  </si>
  <si>
    <t>Supermarket1950</t>
  </si>
  <si>
    <t>3.5  oz/man/day</t>
  </si>
  <si>
    <t>5.4 oz/man/day</t>
  </si>
  <si>
    <t>39.53 oz/man/week</t>
  </si>
  <si>
    <t>5.35 oz/man/week</t>
  </si>
  <si>
    <t>87.55 oz/man/week</t>
  </si>
  <si>
    <t>Current eff. Consumption</t>
  </si>
  <si>
    <t>Source consumption</t>
  </si>
  <si>
    <t>Source (interpolated)</t>
  </si>
  <si>
    <t>Source (relative)</t>
  </si>
  <si>
    <t>Adj. Consumption</t>
  </si>
  <si>
    <t>1016 g/man/week</t>
  </si>
  <si>
    <t>2140 g/man/week</t>
  </si>
  <si>
    <t>163 g/man/week</t>
  </si>
  <si>
    <t>ASSUMPTIONS</t>
  </si>
  <si>
    <t>1790 g/man/week</t>
  </si>
  <si>
    <t>flour consumption = all grain products (bread, pastry, flour) consumption (e.g. 'cereals' category)</t>
  </si>
  <si>
    <t>63.19 oz/man/week</t>
  </si>
  <si>
    <t>Fishmongers1820</t>
  </si>
  <si>
    <t>Fishmongers1840</t>
  </si>
  <si>
    <t>Fishmongers1910</t>
  </si>
  <si>
    <t>Fishmongers1945</t>
  </si>
  <si>
    <t>1.0 lb/man/day</t>
  </si>
  <si>
    <t>1.2 lb/man/day</t>
  </si>
  <si>
    <t>Bakery1750</t>
  </si>
  <si>
    <t>Bakery1840</t>
  </si>
  <si>
    <t>Bakery1910</t>
  </si>
  <si>
    <t>Bakery1945</t>
  </si>
  <si>
    <t>Greengrocers1820</t>
  </si>
  <si>
    <t>Greenfrocers1840</t>
  </si>
  <si>
    <t>Greengrocers1910</t>
  </si>
  <si>
    <t>Greengrocers1945</t>
  </si>
  <si>
    <t>60 cal potato/man/day</t>
  </si>
  <si>
    <t>175 cal potato/man/day</t>
  </si>
  <si>
    <t>9.3A. Consumption of Other Foods – The Industrial Revolution in England was not All Bad</t>
  </si>
  <si>
    <t>Midpoint industry</t>
  </si>
  <si>
    <t>Market1840+Greengrocers1840</t>
  </si>
  <si>
    <t>Market1910+Greengrocers1910</t>
  </si>
  <si>
    <t>Greengrocers1945+Supermarket1950</t>
  </si>
  <si>
    <t>9.1. Consumption of Cereals – The Industrial Revolution in England was not All Bad</t>
  </si>
  <si>
    <t>Amount (oz per 10,000 per simumonth)</t>
  </si>
  <si>
    <t>milk</t>
  </si>
  <si>
    <t>2156 ml/man/week</t>
  </si>
  <si>
    <t>0.15 pint/person/day</t>
  </si>
  <si>
    <t>0.11 pint/person/day</t>
  </si>
  <si>
    <t>milk consumption = all dairy products (cheese, cream, etc) until modern processed dairy becomes a thing (1970 onwards - exclude cheese), in liters</t>
  </si>
  <si>
    <t>5.08 pint/man/week</t>
  </si>
  <si>
    <t>Dairy1750</t>
  </si>
  <si>
    <t>Dairy1840</t>
  </si>
  <si>
    <t>Dairy1910</t>
  </si>
  <si>
    <t>NOTES</t>
  </si>
  <si>
    <t>Peter Van der Heyden gives acreage of 1,700 for potatoes and 800 for fruit at the end of the 19th century, indicating a 2.125 ratio of vegetables to fruit (potatoes are used as the reference for other consumption)</t>
  </si>
  <si>
    <t>~85 cal fruit/man/day (see note 1)</t>
  </si>
  <si>
    <t>Use 52 calories/100g for an apple for overall fruit calorie to weight calculation</t>
  </si>
  <si>
    <t>23.14 oz/man/week</t>
  </si>
  <si>
    <t>fresh fruit</t>
  </si>
  <si>
    <t>761 g/man/week</t>
  </si>
  <si>
    <t>1909-13</t>
  </si>
  <si>
    <t>The_Urban_Working_-_Class_Household_Diet_1940-1949.pdf</t>
  </si>
  <si>
    <t>41.3 oz/man/week</t>
  </si>
  <si>
    <t>12.6 oz/man/week</t>
  </si>
  <si>
    <t>71.2 oz/man/week</t>
  </si>
  <si>
    <t>97 oz/man/week</t>
  </si>
  <si>
    <t>19 oz/man/week</t>
  </si>
  <si>
    <t>Calories from cereals are given as ~1850/day at the end of the 18th century, and ~1500/day post-Industrial Revolution, so e.g. from 1.2lb/day of flour to 1.0.</t>
  </si>
  <si>
    <t>1934-35</t>
  </si>
  <si>
    <t>45 oz/man/week</t>
  </si>
  <si>
    <t>13.9 oz/man/week</t>
  </si>
  <si>
    <t>64.6 oz/man/week</t>
  </si>
  <si>
    <t>103.5 oz/man/week</t>
  </si>
  <si>
    <t>35.7 oz/man/week</t>
  </si>
  <si>
    <t>3.3 pints/man/week</t>
  </si>
  <si>
    <t>3.5 pints/man/week</t>
  </si>
  <si>
    <t>SOURCES LIST</t>
  </si>
  <si>
    <t>Modified consumption</t>
  </si>
  <si>
    <t>First ripple</t>
  </si>
  <si>
    <t>Average change</t>
  </si>
  <si>
    <t>Consumption (current)</t>
  </si>
  <si>
    <t>Consumption change</t>
  </si>
  <si>
    <t>Modified Consumption</t>
  </si>
  <si>
    <t>New consumption</t>
  </si>
  <si>
    <t>Consumption (modified)</t>
  </si>
  <si>
    <t>Productivity</t>
  </si>
  <si>
    <t>New Productivity</t>
  </si>
  <si>
    <t>Dist.weight</t>
  </si>
  <si>
    <t>New InputFactor</t>
  </si>
  <si>
    <t>Modified eff. Consumption</t>
  </si>
  <si>
    <t>Greengrocers1840</t>
  </si>
  <si>
    <t>Current eff. Cons.</t>
  </si>
  <si>
    <t>New dist.weight</t>
  </si>
  <si>
    <t>Canadian data will be used, as it is readily available and detailed. It is assumed that relative changes in number and size of stores over time in Canada are mirrored in the UK.</t>
  </si>
  <si>
    <t>Store type</t>
  </si>
  <si>
    <t>Number of stores</t>
  </si>
  <si>
    <t>Floor area (inferred)</t>
  </si>
  <si>
    <t>https://publications.gc.ca/collections/collection_2018/statcan/63-210/CS63-210-1933-eng.pdf</t>
  </si>
  <si>
    <t>https://publications.gc.ca/collections/collection_2018/statcan/63-210/CS63-210-1980.pdf</t>
  </si>
  <si>
    <t>https://publications.gc.ca/collections/Collection-R/Statcan/63-210-XIB/0009863-210-XIB.pdf</t>
  </si>
  <si>
    <t>Supermarket</t>
  </si>
  <si>
    <t>1998 figures for Canadian store floor area will be assumed to be equivalent to modern-day British footprint measurements for the purposes of scaling.</t>
  </si>
  <si>
    <t>Floor area (m2)</t>
  </si>
  <si>
    <t>SOURCES</t>
  </si>
  <si>
    <t>[1]</t>
  </si>
  <si>
    <t>[2]</t>
  </si>
  <si>
    <t>[3]</t>
  </si>
  <si>
    <t>[4]</t>
  </si>
  <si>
    <t>Grocery store</t>
  </si>
  <si>
    <t>Bakery</t>
  </si>
  <si>
    <t>Pharmacies</t>
  </si>
  <si>
    <t>Clothing stores (minus shoes)</t>
  </si>
  <si>
    <t>Furniture + appliance stores</t>
  </si>
  <si>
    <t>Book &amp; stationery stores</t>
  </si>
  <si>
    <t>ft^2 to m2 conversion:</t>
  </si>
  <si>
    <t>Drug stores</t>
  </si>
  <si>
    <t>Ingame industry</t>
  </si>
  <si>
    <t xml:space="preserve">Variety stores </t>
  </si>
  <si>
    <t>Bookshop1970</t>
  </si>
  <si>
    <t>Chemist1955</t>
  </si>
  <si>
    <t>Chemist1975</t>
  </si>
  <si>
    <t>ClothesShop1960</t>
  </si>
  <si>
    <t>ClothesShop1990</t>
  </si>
  <si>
    <t>Footprint</t>
  </si>
  <si>
    <t>Relative floor area</t>
  </si>
  <si>
    <t>DepartmentStore1990</t>
  </si>
  <si>
    <t>SupermarketSmall1990</t>
  </si>
  <si>
    <t>Grocer1810</t>
  </si>
  <si>
    <t>Grocer1860</t>
  </si>
  <si>
    <t>Grocer1900</t>
  </si>
  <si>
    <t>Grocer1945</t>
  </si>
  <si>
    <t>Convenience1975</t>
  </si>
  <si>
    <t>N/A?</t>
  </si>
  <si>
    <t>New distweight</t>
  </si>
  <si>
    <t>Number of stores UK today</t>
  </si>
  <si>
    <t>Number of stores/industry</t>
  </si>
  <si>
    <t>Deviation</t>
  </si>
  <si>
    <t>https://publications.gc.ca/collections/collection_2018/statcan/63-210/CS63-210-1960-eng.pdf</t>
  </si>
  <si>
    <t>Meat market</t>
  </si>
  <si>
    <t>Variety stores</t>
  </si>
  <si>
    <t>Clothing stores</t>
  </si>
  <si>
    <t>Hardware stores</t>
  </si>
  <si>
    <t>Furniture stores</t>
  </si>
  <si>
    <t>Grocery &amp; combination stores</t>
  </si>
  <si>
    <t>Grocery stores</t>
  </si>
  <si>
    <t>Combination stores</t>
  </si>
  <si>
    <t>Meat markets</t>
  </si>
  <si>
    <t>Canadian population</t>
  </si>
  <si>
    <t>Relative footprint (pop. Adj)</t>
  </si>
  <si>
    <t>ClothesShop1945</t>
  </si>
  <si>
    <t>Department stores</t>
  </si>
  <si>
    <t>DepartmentStore1960</t>
  </si>
  <si>
    <t>Department stores 1980 calculations</t>
  </si>
  <si>
    <t>Total Major dept. stores</t>
  </si>
  <si>
    <t>Total Major dept. store sales</t>
  </si>
  <si>
    <t>Average major dept. store sales/m2</t>
  </si>
  <si>
    <t>Average major dept. store floorspace accessible to public</t>
  </si>
  <si>
    <t>Total Junior dept. stores</t>
  </si>
  <si>
    <t>Total Junior dept. store sales</t>
  </si>
  <si>
    <t>Average junior dept. store sales/m2</t>
  </si>
  <si>
    <t>Average junior dept. store floorspace accessible to public</t>
  </si>
  <si>
    <t>Total dept store 1980 floorspace accessible to public</t>
  </si>
  <si>
    <t>Average</t>
  </si>
  <si>
    <t>Clothing store floorspace accessible to public, 1980</t>
  </si>
  <si>
    <t>Clothing store floorspace total, 1980</t>
  </si>
  <si>
    <t>Accesssible to public to total ratio, 1980</t>
  </si>
  <si>
    <t>Inferred dept store 1980 total floorspace</t>
  </si>
  <si>
    <t>Department stores 1998 calcs</t>
  </si>
  <si>
    <t>Clothing store floorspace accessible to public, 1998</t>
  </si>
  <si>
    <t>Clothing store floorspace total, 1998</t>
  </si>
  <si>
    <t>Ratio, 1998</t>
  </si>
  <si>
    <t>Inferred dept store 1998 total floorspace</t>
  </si>
  <si>
    <t>Total dept store 1998 floorspace to public</t>
  </si>
  <si>
    <t>new distweight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</si>
</sst>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2">
    <border>
      <left/>
      <right/>
      <top/>
      <bottom/>
      <diagonal/>
    </border>
    <border>
      <left style="thin">
        <color auto="1"/>
      </left>
      <right/>
      <top/>
      <bottom/>
      <diagonal/>
    </border>
  </borders>
  <cellStyleXfs count="2">
    <xf numFmtId="0" fontId="0" fillId="0" borderId="0"/>
    <xf numFmtId="0" fontId="2" fillId="0" borderId="0" applyNumberFormat="0" applyFill="0" applyBorder="0" applyAlignment="0" applyProtection="0"/>
  </cellStyleXfs>
  <cellXfs count="14">
    <xf numFmtId="0" fontId="0" fillId="0" borderId="0" xfId="0"/>
    <xf numFmtId="0" fontId="1" fillId="0" borderId="0" xfId="0" applyFont="1"/>
    <xf numFmtId="0" fontId="2" fillId="0" borderId="0" xfId="1"/>
    <xf numFmtId="0" fontId="1" fillId="0" borderId="0" xfId="0" applyFont="1" applyAlignment="1">
      <alignment horizontal="center"/>
    </xf>
    <xf numFmtId="0" fontId="0" fillId="0" borderId="0" xfId="0" applyAlignment="1">
      <alignment horizontal="left"/>
    </xf>
    <xf numFmtId="0" fontId="0" fillId="0" borderId="0" xfId="0" applyAlignment="1">
      <alignment horizontal="center"/>
    </xf>
    <xf numFmtId="0" fontId="0" fillId="0" borderId="0" xfId="0" applyAlignment="1">
      <alignment horizontal="right"/>
    </xf>
    <xf numFmtId="0" fontId="1" fillId="0" borderId="1" xfId="0" applyFont="1" applyBorder="1"/>
    <xf numFmtId="0" fontId="0" fillId="0" borderId="1" xfId="0" applyBorder="1"/>
    <xf numFmtId="0" fontId="1" fillId="0" borderId="0" xfId="0" applyFont="1" applyAlignment="1">
      <alignment horizontal="center"/>
    </xf>
    <xf numFmtId="0" fontId="0" fillId="0" borderId="0" xfId="0" applyFont="1"/>
    <xf numFmtId="0" fontId="0" fillId="0" borderId="0" xfId="0" applyAlignment="1">
      <alignment horizontal="center"/>
    </xf>
    <xf numFmtId="0" fontId="0" fillId="0" borderId="0" xfId="0" applyAlignment="1">
      <alignment horizontal="left"/>
    </xf>
    <xf numFmtId="0" fontId="1" fillId="0" borderId="0" xfId="0" applyFont="1" applyAlignment="1">
      <alignment horizontal="lef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history.pictures/2020/02/10/9-1-consumption-of-cereals/" TargetMode="External"/><Relationship Id="rId13" Type="http://schemas.openxmlformats.org/officeDocument/2006/relationships/printerSettings" Target="../printerSettings/printerSettings1.bin"/><Relationship Id="rId3" Type="http://schemas.openxmlformats.org/officeDocument/2006/relationships/hyperlink" Target="https://assets.publishing.service.gov.uk/media/5a7f0f7740f0b62305b84d2e/Domestic_Food_Consumption_and_Expenditure_1970_and_1971.pdf" TargetMode="External"/><Relationship Id="rId7" Type="http://schemas.openxmlformats.org/officeDocument/2006/relationships/hyperlink" Target="https://history.pictures/2020/02/10/9-1-consumption-of-cereals/" TargetMode="External"/><Relationship Id="rId12" Type="http://schemas.openxmlformats.org/officeDocument/2006/relationships/hyperlink" Target="https://assets.publishing.service.gov.uk/media/5a7f8e1940f0b62302690313/The_Urban_Working_-_Class_Household_Diet_1940-1949.pdf" TargetMode="External"/><Relationship Id="rId2" Type="http://schemas.openxmlformats.org/officeDocument/2006/relationships/hyperlink" Target="https://history.pictures/2020/02/10/9-3-consumption-of-meat/" TargetMode="External"/><Relationship Id="rId1" Type="http://schemas.openxmlformats.org/officeDocument/2006/relationships/hyperlink" Target="https://history.pictures/2020/02/10/9-3-consumption-of-meat/" TargetMode="External"/><Relationship Id="rId6" Type="http://schemas.openxmlformats.org/officeDocument/2006/relationships/hyperlink" Target="https://history.pictures/2020/10/21/9-4-consumption-of-other-foods/" TargetMode="External"/><Relationship Id="rId11" Type="http://schemas.openxmlformats.org/officeDocument/2006/relationships/hyperlink" Target="https://assets.publishing.service.gov.uk/media/5a7f8e1940f0b62302690313/The_Urban_Working_-_Class_Household_Diet_1940-1949.pdf" TargetMode="External"/><Relationship Id="rId5" Type="http://schemas.openxmlformats.org/officeDocument/2006/relationships/hyperlink" Target="https://history.pictures/2020/10/21/9-4-consumption-of-other-foods/" TargetMode="External"/><Relationship Id="rId10" Type="http://schemas.openxmlformats.org/officeDocument/2006/relationships/hyperlink" Target="https://history.pictures/2020/10/21/9-4-consumption-of-other-foods/" TargetMode="External"/><Relationship Id="rId4" Type="http://schemas.openxmlformats.org/officeDocument/2006/relationships/hyperlink" Target="https://webarchive.nationalarchives.gov.uk/ukgwa/20130104055333mp_/http:/www.defra.gov.uk/statistics/files/defra-stats-food-family-annual-2002.pdf" TargetMode="External"/><Relationship Id="rId9" Type="http://schemas.openxmlformats.org/officeDocument/2006/relationships/hyperlink" Target="https://history.pictures/2020/10/21/9-4-consumption-of-other-foods/"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publications.gc.ca/collections/collection_2018/statcan/63-210/CS63-210-1960-eng.pdf" TargetMode="External"/><Relationship Id="rId1" Type="http://schemas.openxmlformats.org/officeDocument/2006/relationships/hyperlink" Target="https://publications.gc.ca/collections/Collection-R/Statcan/63-210-XIB/0009863-210-XIB.pdf"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D15F6-18A6-495C-86EC-32003DCCF29C}">
  <dimension ref="A1:E44"/>
  <sheetViews>
    <sheetView topLeftCell="A16" workbookViewId="0">
      <selection activeCell="D34" sqref="D34"/>
    </sheetView>
  </sheetViews>
  <sheetFormatPr defaultRowHeight="15" x14ac:dyDescent="0.25"/>
  <cols>
    <col min="2" max="2" width="11.42578125" customWidth="1"/>
    <col min="3" max="3" width="19.7109375" customWidth="1"/>
    <col min="4" max="4" width="33" customWidth="1"/>
    <col min="5" max="5" width="129.42578125" customWidth="1"/>
  </cols>
  <sheetData>
    <row r="1" spans="1:5" x14ac:dyDescent="0.25">
      <c r="A1" s="1" t="s">
        <v>0</v>
      </c>
      <c r="B1" s="1" t="s">
        <v>1</v>
      </c>
      <c r="C1" s="1" t="s">
        <v>7</v>
      </c>
      <c r="D1" s="1" t="s">
        <v>71</v>
      </c>
      <c r="E1" s="1" t="s">
        <v>8</v>
      </c>
    </row>
    <row r="2" spans="1:5" x14ac:dyDescent="0.25">
      <c r="A2">
        <v>1800</v>
      </c>
      <c r="B2" t="s">
        <v>2</v>
      </c>
      <c r="C2" t="s">
        <v>32</v>
      </c>
      <c r="D2">
        <f>3.5*10000*6.4 / 8</f>
        <v>28000</v>
      </c>
      <c r="E2" s="2" t="s">
        <v>10</v>
      </c>
    </row>
    <row r="3" spans="1:5" x14ac:dyDescent="0.25">
      <c r="B3" t="s">
        <v>4</v>
      </c>
      <c r="C3" t="s">
        <v>54</v>
      </c>
      <c r="D3">
        <f>(16*1.2)*6.4*10000/8</f>
        <v>153600</v>
      </c>
      <c r="E3" s="2" t="s">
        <v>70</v>
      </c>
    </row>
    <row r="4" spans="1:5" x14ac:dyDescent="0.25">
      <c r="B4" t="s">
        <v>5</v>
      </c>
      <c r="C4" t="s">
        <v>63</v>
      </c>
      <c r="D4">
        <f>2.6455*6.4*10000/8</f>
        <v>21164</v>
      </c>
      <c r="E4" s="2" t="s">
        <v>65</v>
      </c>
    </row>
    <row r="5" spans="1:5" x14ac:dyDescent="0.25">
      <c r="B5" t="s">
        <v>72</v>
      </c>
      <c r="C5" t="s">
        <v>74</v>
      </c>
      <c r="D5">
        <f>0.08523922 * 10000 * 6.4 / 8</f>
        <v>681.91376000000002</v>
      </c>
      <c r="E5" s="2" t="s">
        <v>65</v>
      </c>
    </row>
    <row r="6" spans="1:5" x14ac:dyDescent="0.25">
      <c r="A6">
        <v>1850</v>
      </c>
      <c r="B6" t="s">
        <v>72</v>
      </c>
      <c r="C6" t="s">
        <v>75</v>
      </c>
      <c r="D6">
        <f>0.06250876 * 10000 * 6.4 / 8</f>
        <v>500.07007999999996</v>
      </c>
      <c r="E6" s="2" t="s">
        <v>65</v>
      </c>
    </row>
    <row r="7" spans="1:5" x14ac:dyDescent="0.25">
      <c r="A7">
        <v>1880</v>
      </c>
      <c r="B7" t="s">
        <v>2</v>
      </c>
      <c r="C7" t="s">
        <v>33</v>
      </c>
      <c r="D7">
        <f xml:space="preserve"> 5.4 * 10000 *6.4 / 8</f>
        <v>43200</v>
      </c>
      <c r="E7" s="2" t="s">
        <v>10</v>
      </c>
    </row>
    <row r="8" spans="1:5" x14ac:dyDescent="0.25">
      <c r="B8" t="s">
        <v>4</v>
      </c>
      <c r="C8" t="s">
        <v>53</v>
      </c>
      <c r="D8">
        <f>(16*1)*6.4*10000/8</f>
        <v>128000</v>
      </c>
      <c r="E8" s="2" t="s">
        <v>70</v>
      </c>
    </row>
    <row r="9" spans="1:5" x14ac:dyDescent="0.25">
      <c r="B9" t="s">
        <v>5</v>
      </c>
      <c r="C9" t="s">
        <v>64</v>
      </c>
      <c r="D9">
        <f>7.93*6.4*10000/8</f>
        <v>63440</v>
      </c>
      <c r="E9" s="2" t="s">
        <v>65</v>
      </c>
    </row>
    <row r="10" spans="1:5" x14ac:dyDescent="0.25">
      <c r="B10" t="s">
        <v>6</v>
      </c>
      <c r="C10" t="s">
        <v>83</v>
      </c>
      <c r="D10">
        <f>(50/52)* 3.52739 *10000 * 6.4 / 8</f>
        <v>27133.769230769234</v>
      </c>
    </row>
    <row r="11" spans="1:5" x14ac:dyDescent="0.25">
      <c r="A11" t="s">
        <v>88</v>
      </c>
      <c r="B11" t="s">
        <v>2</v>
      </c>
      <c r="C11" t="s">
        <v>90</v>
      </c>
      <c r="D11">
        <f>(41.3/7)*10000*6.4/8</f>
        <v>47200</v>
      </c>
      <c r="E11" s="2" t="s">
        <v>89</v>
      </c>
    </row>
    <row r="12" spans="1:5" x14ac:dyDescent="0.25">
      <c r="B12" t="s">
        <v>3</v>
      </c>
      <c r="C12" t="s">
        <v>91</v>
      </c>
      <c r="D12">
        <f>(12.6/7)*10000*6.4/8</f>
        <v>14400</v>
      </c>
    </row>
    <row r="13" spans="1:5" x14ac:dyDescent="0.25">
      <c r="B13" t="s">
        <v>4</v>
      </c>
      <c r="C13" t="s">
        <v>92</v>
      </c>
      <c r="D13">
        <f>(71.2/7)*10000*6.4/8</f>
        <v>81371.42857142858</v>
      </c>
    </row>
    <row r="14" spans="1:5" x14ac:dyDescent="0.25">
      <c r="B14" t="s">
        <v>5</v>
      </c>
      <c r="C14" t="s">
        <v>93</v>
      </c>
      <c r="D14">
        <f>(97/7)*10000*6.4/8</f>
        <v>110857.14285714287</v>
      </c>
    </row>
    <row r="15" spans="1:5" x14ac:dyDescent="0.25">
      <c r="B15" t="s">
        <v>6</v>
      </c>
      <c r="C15" t="s">
        <v>94</v>
      </c>
      <c r="D15">
        <f>(19/7)*10000*6.4/8</f>
        <v>21714.285714285717</v>
      </c>
    </row>
    <row r="16" spans="1:5" x14ac:dyDescent="0.25">
      <c r="B16" t="s">
        <v>72</v>
      </c>
      <c r="C16" t="s">
        <v>103</v>
      </c>
      <c r="D16">
        <f>(1.98891525/7)*10000*6.4/8</f>
        <v>2273.0459999999998</v>
      </c>
    </row>
    <row r="17" spans="1:5" x14ac:dyDescent="0.25">
      <c r="A17" t="s">
        <v>96</v>
      </c>
      <c r="B17" t="s">
        <v>2</v>
      </c>
      <c r="C17" t="s">
        <v>97</v>
      </c>
      <c r="D17">
        <f>(45/7)*10000*6.4/8</f>
        <v>51428.571428571435</v>
      </c>
      <c r="E17" s="2" t="s">
        <v>89</v>
      </c>
    </row>
    <row r="18" spans="1:5" x14ac:dyDescent="0.25">
      <c r="B18" t="s">
        <v>3</v>
      </c>
      <c r="C18" t="s">
        <v>98</v>
      </c>
      <c r="D18">
        <f>(13.9/7)*10000*6.4/8</f>
        <v>15885.714285714288</v>
      </c>
    </row>
    <row r="19" spans="1:5" x14ac:dyDescent="0.25">
      <c r="B19" t="s">
        <v>4</v>
      </c>
      <c r="C19" t="s">
        <v>99</v>
      </c>
      <c r="D19">
        <f>(64.6/7)*10000*6.4/8</f>
        <v>73828.57142857142</v>
      </c>
    </row>
    <row r="20" spans="1:5" x14ac:dyDescent="0.25">
      <c r="B20" t="s">
        <v>5</v>
      </c>
      <c r="C20" t="s">
        <v>100</v>
      </c>
      <c r="D20">
        <f>(103.5/7)*10000*6.4/8</f>
        <v>118285.7142857143</v>
      </c>
    </row>
    <row r="21" spans="1:5" x14ac:dyDescent="0.25">
      <c r="B21" t="s">
        <v>6</v>
      </c>
      <c r="C21" t="s">
        <v>101</v>
      </c>
      <c r="D21">
        <f>(35.7/7)*10000*6.4/8</f>
        <v>40800.000000000007</v>
      </c>
    </row>
    <row r="22" spans="1:5" x14ac:dyDescent="0.25">
      <c r="B22" t="s">
        <v>72</v>
      </c>
      <c r="C22" t="s">
        <v>102</v>
      </c>
      <c r="D22">
        <f>(1.87526295/7)*10000*6.4/8</f>
        <v>2143.1576571428573</v>
      </c>
    </row>
    <row r="23" spans="1:5" x14ac:dyDescent="0.25">
      <c r="A23">
        <v>1970</v>
      </c>
      <c r="B23" t="s">
        <v>2</v>
      </c>
      <c r="C23" t="s">
        <v>34</v>
      </c>
      <c r="D23">
        <f xml:space="preserve"> (39.53 / 7) *10000*6.4/8</f>
        <v>45177.14285714287</v>
      </c>
      <c r="E23" s="2" t="s">
        <v>9</v>
      </c>
    </row>
    <row r="24" spans="1:5" x14ac:dyDescent="0.25">
      <c r="B24" t="s">
        <v>3</v>
      </c>
      <c r="C24" t="s">
        <v>35</v>
      </c>
      <c r="D24">
        <f>(5.35/7)*6.4*10000/8</f>
        <v>6114.2857142857147</v>
      </c>
    </row>
    <row r="25" spans="1:5" x14ac:dyDescent="0.25">
      <c r="B25" t="s">
        <v>4</v>
      </c>
      <c r="C25" t="s">
        <v>48</v>
      </c>
      <c r="D25">
        <f>(63.19/7)*10000*6.4/8</f>
        <v>72217.14285714287</v>
      </c>
    </row>
    <row r="26" spans="1:5" x14ac:dyDescent="0.25">
      <c r="B26" t="s">
        <v>5</v>
      </c>
      <c r="C26" t="s">
        <v>36</v>
      </c>
      <c r="D26">
        <f>(87.55/7)*10000*6.4/8</f>
        <v>100057.14285714286</v>
      </c>
    </row>
    <row r="27" spans="1:5" x14ac:dyDescent="0.25">
      <c r="B27" t="s">
        <v>86</v>
      </c>
      <c r="C27" t="s">
        <v>85</v>
      </c>
      <c r="D27">
        <f>(23.14/7)*6.4*10000/8</f>
        <v>26445.714285714286</v>
      </c>
    </row>
    <row r="28" spans="1:5" x14ac:dyDescent="0.25">
      <c r="B28" t="s">
        <v>72</v>
      </c>
      <c r="C28" t="s">
        <v>77</v>
      </c>
      <c r="D28">
        <f xml:space="preserve"> (2.88676842 / 7) * 10000 * 6.4 / 8</f>
        <v>3299.1639085714291</v>
      </c>
    </row>
    <row r="29" spans="1:5" x14ac:dyDescent="0.25">
      <c r="A29">
        <v>2000</v>
      </c>
      <c r="B29" t="s">
        <v>2</v>
      </c>
      <c r="C29" t="s">
        <v>42</v>
      </c>
      <c r="D29">
        <f>((1016*0.03527396)/7)*6.4*10000/8</f>
        <v>40958.106697142859</v>
      </c>
      <c r="E29" s="2" t="s">
        <v>11</v>
      </c>
    </row>
    <row r="30" spans="1:5" x14ac:dyDescent="0.25">
      <c r="B30" t="s">
        <v>3</v>
      </c>
      <c r="C30" t="s">
        <v>44</v>
      </c>
      <c r="D30">
        <f>(163/1016)*D29</f>
        <v>6571.0348342857142</v>
      </c>
    </row>
    <row r="31" spans="1:5" x14ac:dyDescent="0.25">
      <c r="B31" t="s">
        <v>4</v>
      </c>
      <c r="C31" t="s">
        <v>46</v>
      </c>
      <c r="D31">
        <f>(1790/1016)*D29</f>
        <v>72160.443885714281</v>
      </c>
    </row>
    <row r="32" spans="1:5" x14ac:dyDescent="0.25">
      <c r="B32" t="s">
        <v>5</v>
      </c>
      <c r="C32" t="s">
        <v>43</v>
      </c>
      <c r="D32">
        <f>(2140/1016)*D29</f>
        <v>86270.027885714284</v>
      </c>
    </row>
    <row r="33" spans="1:5" x14ac:dyDescent="0.25">
      <c r="B33" t="s">
        <v>86</v>
      </c>
      <c r="C33" t="s">
        <v>87</v>
      </c>
      <c r="D33">
        <f>(761/1016)*D29</f>
        <v>30678.266925714288</v>
      </c>
    </row>
    <row r="34" spans="1:5" x14ac:dyDescent="0.25">
      <c r="B34" t="s">
        <v>72</v>
      </c>
      <c r="C34" s="5" t="s">
        <v>73</v>
      </c>
      <c r="D34" s="6">
        <f>(2.156/7)*10000*6.4/8</f>
        <v>2464</v>
      </c>
    </row>
    <row r="35" spans="1:5" x14ac:dyDescent="0.25">
      <c r="D35" s="4"/>
      <c r="E35" s="4"/>
    </row>
    <row r="36" spans="1:5" x14ac:dyDescent="0.25">
      <c r="A36" s="3" t="s">
        <v>45</v>
      </c>
      <c r="B36" s="3"/>
      <c r="C36" s="4"/>
    </row>
    <row r="37" spans="1:5" x14ac:dyDescent="0.25">
      <c r="A37" s="1">
        <v>1</v>
      </c>
      <c r="B37" s="4" t="s">
        <v>47</v>
      </c>
    </row>
    <row r="38" spans="1:5" x14ac:dyDescent="0.25">
      <c r="A38" s="1">
        <v>2</v>
      </c>
      <c r="B38" t="s">
        <v>76</v>
      </c>
    </row>
    <row r="39" spans="1:5" x14ac:dyDescent="0.25">
      <c r="A39" s="1">
        <v>3</v>
      </c>
      <c r="B39" t="s">
        <v>84</v>
      </c>
    </row>
    <row r="40" spans="1:5" x14ac:dyDescent="0.25">
      <c r="A40" s="1" t="s">
        <v>81</v>
      </c>
    </row>
    <row r="41" spans="1:5" x14ac:dyDescent="0.25">
      <c r="A41" s="1">
        <v>1</v>
      </c>
      <c r="B41" t="s">
        <v>82</v>
      </c>
    </row>
    <row r="42" spans="1:5" x14ac:dyDescent="0.25">
      <c r="A42" s="1">
        <v>2</v>
      </c>
      <c r="B42" t="s">
        <v>95</v>
      </c>
    </row>
    <row r="44" spans="1:5" x14ac:dyDescent="0.25">
      <c r="A44" s="1" t="s">
        <v>104</v>
      </c>
    </row>
  </sheetData>
  <hyperlinks>
    <hyperlink ref="E2" r:id="rId1" display="https://history.pictures/2020/02/10/9-3-consumption-of-meat/" xr:uid="{F6ABE5C8-37CB-4716-879B-64C74DB128F8}"/>
    <hyperlink ref="E7" r:id="rId2" display="https://history.pictures/2020/02/10/9-3-consumption-of-meat/" xr:uid="{0EE12F9B-C523-4FAF-AA87-223AD63C33E5}"/>
    <hyperlink ref="E23" r:id="rId3" xr:uid="{731C3305-BEAA-4468-BD29-D135D35C5112}"/>
    <hyperlink ref="E29" r:id="rId4" display="https://webarchive.nationalarchives.gov.uk/ukgwa/20130104055333mp_/http:/www.defra.gov.uk/statistics/files/defra-stats-food-family-annual-2002.pdf" xr:uid="{D65896A6-5EDA-45A1-BFDD-E3DD440364A5}"/>
    <hyperlink ref="E9" r:id="rId5" display="https://history.pictures/2020/10/21/9-4-consumption-of-other-foods/" xr:uid="{B5BDB095-F4AA-4AEC-BED2-835552E677DA}"/>
    <hyperlink ref="E4" r:id="rId6" display="https://history.pictures/2020/10/21/9-4-consumption-of-other-foods/" xr:uid="{6BDFE8F7-A4B7-4968-BA29-EAEE8DA6DABA}"/>
    <hyperlink ref="E3" r:id="rId7" display="https://history.pictures/2020/02/10/9-1-consumption-of-cereals/" xr:uid="{052EEABF-6CCA-44FB-BDE0-B029A16A356B}"/>
    <hyperlink ref="E8" r:id="rId8" display="https://history.pictures/2020/02/10/9-1-consumption-of-cereals/" xr:uid="{B6988925-7344-42C8-9532-1CBC4BBC80CF}"/>
    <hyperlink ref="E5" r:id="rId9" display="https://history.pictures/2020/10/21/9-4-consumption-of-other-foods/" xr:uid="{9505887F-FD4A-4D74-AA6F-A636530ABB6D}"/>
    <hyperlink ref="E6" r:id="rId10" display="https://history.pictures/2020/10/21/9-4-consumption-of-other-foods/" xr:uid="{2D67D00D-BEEB-4945-9941-84E709BBD8C8}"/>
    <hyperlink ref="E11" r:id="rId11" display="https://assets.publishing.service.gov.uk/media/5a7f8e1940f0b62302690313/The_Urban_Working_-_Class_Household_Diet_1940-1949.pdf" xr:uid="{7390DD77-970B-4383-A9BE-753E26C62AE9}"/>
    <hyperlink ref="E17" r:id="rId12" display="https://assets.publishing.service.gov.uk/media/5a7f8e1940f0b62302690313/The_Urban_Working_-_Class_Household_Diet_1940-1949.pdf" xr:uid="{215CD8F4-3FF1-44C4-AE28-9E5E36C67CCB}"/>
  </hyperlinks>
  <pageMargins left="0.7" right="0.7" top="0.75" bottom="0.75" header="0.3" footer="0.3"/>
  <pageSetup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D60E-37D0-4490-9F1B-9577E339A176}">
  <dimension ref="A1:H61"/>
  <sheetViews>
    <sheetView topLeftCell="C1" workbookViewId="0">
      <selection activeCell="H12" sqref="H12"/>
    </sheetView>
  </sheetViews>
  <sheetFormatPr defaultRowHeight="15" x14ac:dyDescent="0.25"/>
  <cols>
    <col min="2" max="2" width="44.140625" customWidth="1"/>
    <col min="3" max="3" width="20.5703125" customWidth="1"/>
    <col min="4" max="4" width="13.5703125" customWidth="1"/>
    <col min="5" max="5" width="23.140625" customWidth="1"/>
    <col min="6" max="6" width="25.42578125" customWidth="1"/>
    <col min="7" max="7" width="18" customWidth="1"/>
    <col min="8" max="8" width="19.28515625" customWidth="1"/>
  </cols>
  <sheetData>
    <row r="1" spans="1:8" x14ac:dyDescent="0.25">
      <c r="A1" s="1" t="s">
        <v>0</v>
      </c>
      <c r="B1" s="1" t="s">
        <v>122</v>
      </c>
      <c r="C1" t="s">
        <v>144</v>
      </c>
      <c r="D1" s="1" t="s">
        <v>123</v>
      </c>
      <c r="E1" s="1" t="s">
        <v>130</v>
      </c>
      <c r="F1" s="1" t="s">
        <v>124</v>
      </c>
      <c r="G1" s="1" t="s">
        <v>175</v>
      </c>
      <c r="H1" s="1" t="s">
        <v>176</v>
      </c>
    </row>
    <row r="2" spans="1:8" x14ac:dyDescent="0.25">
      <c r="A2" s="1">
        <v>1933</v>
      </c>
    </row>
    <row r="3" spans="1:8" x14ac:dyDescent="0.25">
      <c r="A3">
        <v>1950</v>
      </c>
      <c r="B3" t="s">
        <v>172</v>
      </c>
      <c r="D3">
        <v>230</v>
      </c>
      <c r="G3">
        <v>14009400</v>
      </c>
    </row>
    <row r="4" spans="1:8" x14ac:dyDescent="0.25">
      <c r="B4" t="s">
        <v>173</v>
      </c>
      <c r="D4">
        <v>879</v>
      </c>
      <c r="G4">
        <v>14009400</v>
      </c>
    </row>
    <row r="5" spans="1:8" x14ac:dyDescent="0.25">
      <c r="B5" t="s">
        <v>137</v>
      </c>
      <c r="D5">
        <v>162</v>
      </c>
      <c r="G5">
        <v>14009400</v>
      </c>
    </row>
    <row r="6" spans="1:8" x14ac:dyDescent="0.25">
      <c r="B6" t="s">
        <v>174</v>
      </c>
      <c r="D6">
        <v>53</v>
      </c>
      <c r="G6">
        <v>14009400</v>
      </c>
    </row>
    <row r="7" spans="1:8" x14ac:dyDescent="0.25">
      <c r="B7" t="s">
        <v>167</v>
      </c>
      <c r="D7">
        <v>560</v>
      </c>
      <c r="G7">
        <v>14009400</v>
      </c>
    </row>
    <row r="8" spans="1:8" x14ac:dyDescent="0.25">
      <c r="B8" t="s">
        <v>139</v>
      </c>
      <c r="C8" t="s">
        <v>177</v>
      </c>
      <c r="D8">
        <f>158+142+458</f>
        <v>758</v>
      </c>
      <c r="F8">
        <f>(E$26/D$26)*D8</f>
        <v>343100.98815165256</v>
      </c>
      <c r="G8">
        <v>14009400</v>
      </c>
      <c r="H8">
        <f>((F8/E$30)*H$30)*(G$30/G8)</f>
        <v>14.90233829609822</v>
      </c>
    </row>
    <row r="9" spans="1:8" x14ac:dyDescent="0.25">
      <c r="B9" t="s">
        <v>169</v>
      </c>
      <c r="D9">
        <v>49</v>
      </c>
      <c r="G9">
        <v>14009400</v>
      </c>
    </row>
    <row r="10" spans="1:8" x14ac:dyDescent="0.25">
      <c r="B10" t="s">
        <v>170</v>
      </c>
      <c r="D10">
        <v>184</v>
      </c>
      <c r="G10">
        <v>14009400</v>
      </c>
    </row>
    <row r="11" spans="1:8" x14ac:dyDescent="0.25">
      <c r="B11" t="s">
        <v>143</v>
      </c>
      <c r="D11">
        <v>320</v>
      </c>
      <c r="G11">
        <v>14009400</v>
      </c>
    </row>
    <row r="12" spans="1:8" x14ac:dyDescent="0.25">
      <c r="A12" s="1">
        <v>1960</v>
      </c>
      <c r="B12" t="s">
        <v>171</v>
      </c>
      <c r="C12" t="s">
        <v>31</v>
      </c>
      <c r="D12">
        <v>1494</v>
      </c>
      <c r="F12">
        <f>(E$23/D$23)*D12</f>
        <v>124689.40390181726</v>
      </c>
      <c r="G12">
        <v>18238200</v>
      </c>
      <c r="H12">
        <f>(F12/E$30)*H$30*(G$30/G20)</f>
        <v>4.1600596661821294</v>
      </c>
    </row>
    <row r="13" spans="1:8" x14ac:dyDescent="0.25">
      <c r="G13">
        <v>18238200</v>
      </c>
    </row>
    <row r="14" spans="1:8" x14ac:dyDescent="0.25">
      <c r="B14" t="s">
        <v>137</v>
      </c>
      <c r="D14">
        <v>250</v>
      </c>
      <c r="F14">
        <f>(E$23/D$23)*D14</f>
        <v>20865.02742667625</v>
      </c>
      <c r="G14">
        <v>18238200</v>
      </c>
      <c r="H14">
        <f>(F14/E$30)*H$30*(G$30/G20)</f>
        <v>0.69612778885243143</v>
      </c>
    </row>
    <row r="15" spans="1:8" x14ac:dyDescent="0.25">
      <c r="B15" t="s">
        <v>166</v>
      </c>
      <c r="D15">
        <v>50</v>
      </c>
      <c r="G15">
        <v>18238200</v>
      </c>
      <c r="H15">
        <f>(F15/E$30)*H$30</f>
        <v>0</v>
      </c>
    </row>
    <row r="16" spans="1:8" x14ac:dyDescent="0.25">
      <c r="B16" t="s">
        <v>167</v>
      </c>
      <c r="D16">
        <v>780</v>
      </c>
      <c r="G16">
        <v>18238200</v>
      </c>
      <c r="H16">
        <f>(F16/E$30)*H$30</f>
        <v>0</v>
      </c>
    </row>
    <row r="17" spans="1:8" x14ac:dyDescent="0.25">
      <c r="B17" t="s">
        <v>168</v>
      </c>
      <c r="D17">
        <f>222+707+214</f>
        <v>1143</v>
      </c>
      <c r="F17">
        <f>(E$26/D$26)*D17</f>
        <v>517367.32118382439</v>
      </c>
      <c r="G17">
        <v>18238200</v>
      </c>
      <c r="H17">
        <f>(F17/E$30)*H$30*(G$30/G20)</f>
        <v>17.261121299066179</v>
      </c>
    </row>
    <row r="18" spans="1:8" x14ac:dyDescent="0.25">
      <c r="B18" t="s">
        <v>169</v>
      </c>
      <c r="D18">
        <v>169</v>
      </c>
      <c r="G18">
        <v>18238200</v>
      </c>
      <c r="H18">
        <f>(F18/E$30)*H$30</f>
        <v>0</v>
      </c>
    </row>
    <row r="19" spans="1:8" x14ac:dyDescent="0.25">
      <c r="B19" t="s">
        <v>170</v>
      </c>
      <c r="D19">
        <v>212</v>
      </c>
      <c r="F19" t="e">
        <f>(E27/D27)*D19</f>
        <v>#DIV/0!</v>
      </c>
      <c r="G19">
        <v>18238200</v>
      </c>
      <c r="H19" t="e">
        <f>(F19/E$30)*H$30</f>
        <v>#DIV/0!</v>
      </c>
    </row>
    <row r="20" spans="1:8" x14ac:dyDescent="0.25">
      <c r="B20" t="s">
        <v>143</v>
      </c>
      <c r="D20">
        <v>383</v>
      </c>
      <c r="F20">
        <f>(E24/D24)*D20</f>
        <v>38103.151058819873</v>
      </c>
      <c r="G20">
        <v>18238200</v>
      </c>
      <c r="H20">
        <f>(((F20/E$30)*H$30)*(G$30/G20))</f>
        <v>1.2712498168573834</v>
      </c>
    </row>
    <row r="21" spans="1:8" x14ac:dyDescent="0.25">
      <c r="A21" s="1">
        <v>1980</v>
      </c>
      <c r="B21" t="s">
        <v>128</v>
      </c>
      <c r="C21" t="s">
        <v>29</v>
      </c>
      <c r="D21">
        <v>1705</v>
      </c>
      <c r="E21">
        <f>36304160/C40</f>
        <v>3372766.8338822289</v>
      </c>
      <c r="G21">
        <v>24819900</v>
      </c>
      <c r="H21">
        <f>(E21/E$30)*H$30*(G$30/G28)</f>
        <v>82.687198110902756</v>
      </c>
    </row>
    <row r="22" spans="1:8" x14ac:dyDescent="0.25">
      <c r="B22" t="s">
        <v>136</v>
      </c>
      <c r="G22">
        <v>24819900</v>
      </c>
    </row>
    <row r="23" spans="1:8" x14ac:dyDescent="0.25">
      <c r="B23" t="s">
        <v>137</v>
      </c>
      <c r="D23">
        <v>28</v>
      </c>
      <c r="E23">
        <f>25154/C40</f>
        <v>2336.8830717877399</v>
      </c>
      <c r="G23">
        <v>24819900</v>
      </c>
      <c r="H23">
        <f>(E23/E$30)*H$30*(G$30/G28)</f>
        <v>5.7291334692268006E-2</v>
      </c>
    </row>
    <row r="24" spans="1:8" x14ac:dyDescent="0.25">
      <c r="B24" t="s">
        <v>143</v>
      </c>
      <c r="C24" t="s">
        <v>147</v>
      </c>
      <c r="D24">
        <v>531</v>
      </c>
      <c r="E24">
        <f>568626/C40</f>
        <v>52827.084105047921</v>
      </c>
      <c r="G24">
        <v>24819900</v>
      </c>
      <c r="H24">
        <f>(E24/E$30)*H$30*(G$30/G28)*(G$30/G28)</f>
        <v>1.5810912357314428</v>
      </c>
    </row>
    <row r="25" spans="1:8" x14ac:dyDescent="0.25">
      <c r="B25" t="s">
        <v>145</v>
      </c>
      <c r="C25" t="s">
        <v>159</v>
      </c>
      <c r="D25">
        <v>660</v>
      </c>
      <c r="E25">
        <f>14932130/10.7639104</f>
        <v>1387240.2728287296</v>
      </c>
      <c r="G25">
        <v>24819900</v>
      </c>
      <c r="H25">
        <f>(E25/E$30)*H$30*(G$30/G28)</f>
        <v>34.009766140512674</v>
      </c>
    </row>
    <row r="26" spans="1:8" x14ac:dyDescent="0.25">
      <c r="B26" t="s">
        <v>139</v>
      </c>
      <c r="C26" t="s">
        <v>149</v>
      </c>
      <c r="D26">
        <f>683+1489+117+887+130</f>
        <v>3306</v>
      </c>
      <c r="E26">
        <f>(4194002+4284894+294398+6749058+585057)/C40</f>
        <v>1496427.2649463897</v>
      </c>
      <c r="G26">
        <v>24819900</v>
      </c>
      <c r="H26">
        <f>(E26/E$30)*H$30*(G$30/G28)</f>
        <v>36.686608891001427</v>
      </c>
    </row>
    <row r="27" spans="1:8" x14ac:dyDescent="0.25">
      <c r="B27" t="s">
        <v>140</v>
      </c>
      <c r="G27">
        <v>24819900</v>
      </c>
    </row>
    <row r="28" spans="1:8" x14ac:dyDescent="0.25">
      <c r="B28" t="s">
        <v>141</v>
      </c>
      <c r="C28" t="s">
        <v>146</v>
      </c>
      <c r="D28">
        <v>464</v>
      </c>
      <c r="E28">
        <f>194862/C40</f>
        <v>18103.272208583228</v>
      </c>
      <c r="G28">
        <v>24819900</v>
      </c>
      <c r="H28">
        <f>(E28/E$30)*H$30*(G$30/G28)</f>
        <v>0.4438222175719459</v>
      </c>
    </row>
    <row r="29" spans="1:8" x14ac:dyDescent="0.25">
      <c r="B29" t="s">
        <v>178</v>
      </c>
      <c r="C29" t="s">
        <v>179</v>
      </c>
      <c r="D29">
        <f>C48+C52</f>
        <v>752</v>
      </c>
      <c r="E29">
        <f>C61</f>
        <v>2591919.9914207789</v>
      </c>
      <c r="G29">
        <v>24819900</v>
      </c>
      <c r="H29">
        <f>(E29/E$30)*H$30*(G$30/G29)</f>
        <v>63.543853570075441</v>
      </c>
    </row>
    <row r="30" spans="1:8" x14ac:dyDescent="0.25">
      <c r="A30" s="1">
        <v>1998</v>
      </c>
      <c r="B30" t="s">
        <v>128</v>
      </c>
      <c r="C30" t="s">
        <v>30</v>
      </c>
      <c r="D30">
        <v>1481</v>
      </c>
      <c r="E30">
        <v>4979622</v>
      </c>
      <c r="G30">
        <v>30300400</v>
      </c>
      <c r="H30">
        <v>100</v>
      </c>
    </row>
    <row r="31" spans="1:8" x14ac:dyDescent="0.25">
      <c r="B31" t="s">
        <v>136</v>
      </c>
      <c r="D31">
        <v>1693</v>
      </c>
      <c r="E31">
        <v>366963</v>
      </c>
      <c r="G31">
        <v>30300400</v>
      </c>
      <c r="H31">
        <f>(E31/E30)*H30</f>
        <v>7.3692942958320931</v>
      </c>
    </row>
    <row r="32" spans="1:8" x14ac:dyDescent="0.25">
      <c r="B32" t="s">
        <v>138</v>
      </c>
      <c r="C32" t="s">
        <v>148</v>
      </c>
      <c r="D32">
        <v>827</v>
      </c>
      <c r="E32">
        <v>463960</v>
      </c>
      <c r="G32">
        <v>30300400</v>
      </c>
      <c r="H32">
        <f>(E32/E$30)*H$30</f>
        <v>9.3171730705664011</v>
      </c>
    </row>
    <row r="33" spans="1:8" x14ac:dyDescent="0.25">
      <c r="B33" t="s">
        <v>139</v>
      </c>
      <c r="C33" t="s">
        <v>150</v>
      </c>
      <c r="D33">
        <f>821+3613+370+2774</f>
        <v>7578</v>
      </c>
      <c r="E33">
        <f>265751+753638+85192+1627134</f>
        <v>2731715</v>
      </c>
      <c r="G33">
        <v>30300400</v>
      </c>
      <c r="H33">
        <f>(E33/E$30)*H$30</f>
        <v>54.857878770717939</v>
      </c>
    </row>
    <row r="34" spans="1:8" x14ac:dyDescent="0.25">
      <c r="B34" t="s">
        <v>140</v>
      </c>
      <c r="G34">
        <v>30300400</v>
      </c>
    </row>
    <row r="35" spans="1:8" x14ac:dyDescent="0.25">
      <c r="B35" t="s">
        <v>141</v>
      </c>
      <c r="C35" t="s">
        <v>160</v>
      </c>
      <c r="D35">
        <v>858</v>
      </c>
      <c r="E35">
        <v>325108</v>
      </c>
      <c r="G35">
        <v>30300400</v>
      </c>
      <c r="H35">
        <f>(E35/E$30)*H$30</f>
        <v>6.5287686495079349</v>
      </c>
    </row>
    <row r="36" spans="1:8" x14ac:dyDescent="0.25">
      <c r="B36" t="s">
        <v>178</v>
      </c>
      <c r="C36" t="s">
        <v>153</v>
      </c>
      <c r="D36">
        <v>810</v>
      </c>
      <c r="E36">
        <f>F61</f>
        <v>7559015.1350792805</v>
      </c>
      <c r="H36">
        <f>(E36/E$30)*H$30</f>
        <v>151.79897460247545</v>
      </c>
    </row>
    <row r="37" spans="1:8" x14ac:dyDescent="0.25">
      <c r="A37" s="1" t="s">
        <v>45</v>
      </c>
    </row>
    <row r="38" spans="1:8" x14ac:dyDescent="0.25">
      <c r="A38" s="1">
        <v>1</v>
      </c>
      <c r="B38" t="s">
        <v>121</v>
      </c>
    </row>
    <row r="39" spans="1:8" x14ac:dyDescent="0.25">
      <c r="A39" s="1">
        <v>2</v>
      </c>
      <c r="B39" t="s">
        <v>129</v>
      </c>
    </row>
    <row r="40" spans="1:8" x14ac:dyDescent="0.25">
      <c r="A40">
        <v>3</v>
      </c>
      <c r="B40" t="s">
        <v>142</v>
      </c>
      <c r="C40">
        <f xml:space="preserve"> 10.7639104</f>
        <v>10.7639104</v>
      </c>
    </row>
    <row r="41" spans="1:8" x14ac:dyDescent="0.25">
      <c r="A41" s="1" t="s">
        <v>131</v>
      </c>
    </row>
    <row r="42" spans="1:8" x14ac:dyDescent="0.25">
      <c r="A42" s="1" t="s">
        <v>132</v>
      </c>
      <c r="B42" t="s">
        <v>125</v>
      </c>
    </row>
    <row r="43" spans="1:8" x14ac:dyDescent="0.25">
      <c r="A43" s="1" t="s">
        <v>133</v>
      </c>
      <c r="B43" s="2" t="s">
        <v>165</v>
      </c>
    </row>
    <row r="44" spans="1:8" x14ac:dyDescent="0.25">
      <c r="A44" s="1" t="s">
        <v>134</v>
      </c>
      <c r="B44" t="s">
        <v>126</v>
      </c>
    </row>
    <row r="45" spans="1:8" x14ac:dyDescent="0.25">
      <c r="A45" s="1" t="s">
        <v>135</v>
      </c>
      <c r="B45" s="2" t="s">
        <v>127</v>
      </c>
    </row>
    <row r="47" spans="1:8" x14ac:dyDescent="0.25">
      <c r="B47" t="s">
        <v>180</v>
      </c>
      <c r="C47" s="1" t="s">
        <v>134</v>
      </c>
      <c r="E47" t="s">
        <v>195</v>
      </c>
    </row>
    <row r="48" spans="1:8" x14ac:dyDescent="0.25">
      <c r="A48" s="12" t="s">
        <v>181</v>
      </c>
      <c r="B48" s="12"/>
      <c r="C48">
        <v>324</v>
      </c>
    </row>
    <row r="49" spans="1:6" x14ac:dyDescent="0.25">
      <c r="A49" s="12" t="s">
        <v>182</v>
      </c>
      <c r="B49" s="12"/>
      <c r="C49">
        <v>6309868</v>
      </c>
    </row>
    <row r="50" spans="1:6" x14ac:dyDescent="0.25">
      <c r="A50" s="12" t="s">
        <v>183</v>
      </c>
      <c r="B50" s="12"/>
      <c r="C50">
        <v>2018</v>
      </c>
    </row>
    <row r="51" spans="1:6" x14ac:dyDescent="0.25">
      <c r="A51" s="13" t="s">
        <v>184</v>
      </c>
      <c r="B51" s="13"/>
      <c r="C51">
        <f>C49/C50</f>
        <v>3126.7928642220022</v>
      </c>
    </row>
    <row r="52" spans="1:6" x14ac:dyDescent="0.25">
      <c r="A52" s="12" t="s">
        <v>185</v>
      </c>
      <c r="B52" s="12"/>
      <c r="C52">
        <v>428</v>
      </c>
    </row>
    <row r="53" spans="1:6" x14ac:dyDescent="0.25">
      <c r="A53" s="12" t="s">
        <v>186</v>
      </c>
      <c r="B53" s="12"/>
      <c r="C53">
        <v>3287388</v>
      </c>
    </row>
    <row r="54" spans="1:6" x14ac:dyDescent="0.25">
      <c r="A54" s="12" t="s">
        <v>187</v>
      </c>
      <c r="B54" s="12"/>
      <c r="C54">
        <v>1309</v>
      </c>
    </row>
    <row r="55" spans="1:6" x14ac:dyDescent="0.25">
      <c r="A55" s="13" t="s">
        <v>188</v>
      </c>
      <c r="B55" s="13"/>
      <c r="C55">
        <f>C53/C54</f>
        <v>2511.3735676088618</v>
      </c>
    </row>
    <row r="56" spans="1:6" x14ac:dyDescent="0.25">
      <c r="A56" s="13" t="s">
        <v>189</v>
      </c>
      <c r="B56" s="13"/>
      <c r="C56">
        <f>C51*C48+C55*C52</f>
        <v>2087948.7749445215</v>
      </c>
      <c r="D56" s="9" t="s">
        <v>200</v>
      </c>
      <c r="E56" s="9"/>
      <c r="F56">
        <f>6647973</f>
        <v>6647973</v>
      </c>
    </row>
    <row r="57" spans="1:6" x14ac:dyDescent="0.25">
      <c r="B57" t="s">
        <v>190</v>
      </c>
      <c r="C57">
        <f>C56/(C52+C48)</f>
        <v>2776.5276262560128</v>
      </c>
    </row>
    <row r="58" spans="1:6" x14ac:dyDescent="0.25">
      <c r="A58" s="11" t="s">
        <v>191</v>
      </c>
      <c r="B58" s="11"/>
      <c r="C58">
        <f>(3527821+3597819+260810+5589045)/C40</f>
        <v>1205462.9328761413</v>
      </c>
      <c r="D58" s="11" t="s">
        <v>196</v>
      </c>
      <c r="E58" s="11"/>
      <c r="F58">
        <f>(248372+672707+79165+1402234)</f>
        <v>2402478</v>
      </c>
    </row>
    <row r="59" spans="1:6" x14ac:dyDescent="0.25">
      <c r="B59" t="s">
        <v>192</v>
      </c>
      <c r="C59">
        <f>E26</f>
        <v>1496427.2649463897</v>
      </c>
      <c r="D59" s="11" t="s">
        <v>197</v>
      </c>
      <c r="E59" s="11"/>
      <c r="F59">
        <f>E33</f>
        <v>2731715</v>
      </c>
    </row>
    <row r="60" spans="1:6" x14ac:dyDescent="0.25">
      <c r="B60" t="s">
        <v>193</v>
      </c>
      <c r="C60">
        <f>C58/C59</f>
        <v>0.80556065845226876</v>
      </c>
      <c r="D60" s="11" t="s">
        <v>198</v>
      </c>
      <c r="E60" s="11"/>
      <c r="F60">
        <f>F58/F59</f>
        <v>0.87947608004495348</v>
      </c>
    </row>
    <row r="61" spans="1:6" x14ac:dyDescent="0.25">
      <c r="B61" s="1" t="s">
        <v>194</v>
      </c>
      <c r="C61">
        <f>C56/C60</f>
        <v>2591919.9914207789</v>
      </c>
      <c r="D61" s="9" t="s">
        <v>199</v>
      </c>
      <c r="E61" s="9"/>
      <c r="F61">
        <f>F56/F60</f>
        <v>7559015.1350792805</v>
      </c>
    </row>
  </sheetData>
  <mergeCells count="15">
    <mergeCell ref="A58:B58"/>
    <mergeCell ref="D58:E58"/>
    <mergeCell ref="D56:E56"/>
    <mergeCell ref="D60:E60"/>
    <mergeCell ref="D61:E61"/>
    <mergeCell ref="D59:E59"/>
    <mergeCell ref="A48:B48"/>
    <mergeCell ref="A49:B49"/>
    <mergeCell ref="A50:B50"/>
    <mergeCell ref="A51:B51"/>
    <mergeCell ref="A52:B52"/>
    <mergeCell ref="A53:B53"/>
    <mergeCell ref="A54:B54"/>
    <mergeCell ref="A55:B55"/>
    <mergeCell ref="A56:B56"/>
  </mergeCells>
  <hyperlinks>
    <hyperlink ref="B45" r:id="rId1" xr:uid="{E4BEADCF-8F16-45DC-817D-FE1FD3FB064D}"/>
    <hyperlink ref="B43" r:id="rId2" xr:uid="{7B7D0923-A61B-48F7-A2E2-86A3AB3E6903}"/>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D8063F-8621-472E-B7CA-29111BDF18DD}">
  <dimension ref="A1:F13"/>
  <sheetViews>
    <sheetView tabSelected="1" workbookViewId="0">
      <selection activeCell="D8" sqref="D8"/>
    </sheetView>
  </sheetViews>
  <sheetFormatPr defaultRowHeight="15" x14ac:dyDescent="0.25"/>
  <cols>
    <col min="1" max="1" width="21.42578125" customWidth="1"/>
    <col min="2" max="2" width="13.42578125" customWidth="1"/>
    <col min="3" max="3" width="20.140625" customWidth="1"/>
    <col min="4" max="4" width="18.85546875" customWidth="1"/>
    <col min="5" max="5" width="25.7109375" customWidth="1"/>
  </cols>
  <sheetData>
    <row r="1" spans="1:6" x14ac:dyDescent="0.25">
      <c r="A1" s="1" t="s">
        <v>12</v>
      </c>
      <c r="B1" s="1" t="s">
        <v>151</v>
      </c>
      <c r="C1" s="1" t="s">
        <v>152</v>
      </c>
      <c r="D1" s="1" t="s">
        <v>161</v>
      </c>
      <c r="E1" s="1" t="s">
        <v>162</v>
      </c>
      <c r="F1" s="1" t="s">
        <v>163</v>
      </c>
    </row>
    <row r="2" spans="1:6" x14ac:dyDescent="0.25">
      <c r="A2" t="s">
        <v>177</v>
      </c>
      <c r="B2">
        <v>1</v>
      </c>
      <c r="C2">
        <f>sources_distweight!H8</f>
        <v>14.90233829609822</v>
      </c>
      <c r="D2">
        <f>MAX(ROUND((C2/C$12)*(B$12/B2)*D$12,0),1)</f>
        <v>27</v>
      </c>
    </row>
    <row r="3" spans="1:6" x14ac:dyDescent="0.25">
      <c r="A3" t="s">
        <v>58</v>
      </c>
      <c r="B3">
        <v>1</v>
      </c>
    </row>
    <row r="4" spans="1:6" x14ac:dyDescent="0.25">
      <c r="A4" t="s">
        <v>31</v>
      </c>
      <c r="B4">
        <v>1</v>
      </c>
      <c r="C4">
        <f>sources_distweight!H12</f>
        <v>4.1600596661821294</v>
      </c>
      <c r="D4">
        <f>MAX(ROUND((C4/C$12)*(B$12/B4)*D$12,0),1)</f>
        <v>8</v>
      </c>
    </row>
    <row r="5" spans="1:6" x14ac:dyDescent="0.25">
      <c r="A5" t="s">
        <v>147</v>
      </c>
      <c r="B5">
        <v>1</v>
      </c>
      <c r="C5">
        <f>sources_distweight!H24</f>
        <v>1.5810912357314428</v>
      </c>
      <c r="D5">
        <f>MAX(ROUND((C5/C$12)*(B$12/B5)*D$12,0),1)</f>
        <v>3</v>
      </c>
    </row>
    <row r="6" spans="1:6" x14ac:dyDescent="0.25">
      <c r="A6" t="s">
        <v>29</v>
      </c>
      <c r="B6">
        <v>4</v>
      </c>
      <c r="C6">
        <f>sources_distweight!H21</f>
        <v>82.687198110902756</v>
      </c>
      <c r="D6">
        <f>MAX(ROUND((C6/C$12)*(B$12/B6)*D$12,0),1)</f>
        <v>38</v>
      </c>
    </row>
    <row r="7" spans="1:6" x14ac:dyDescent="0.25">
      <c r="A7" t="s">
        <v>149</v>
      </c>
      <c r="B7">
        <v>1</v>
      </c>
      <c r="C7">
        <f>sources_distweight!H26</f>
        <v>36.686608891001427</v>
      </c>
      <c r="D7">
        <f>MAX(ROUND((C7/C$12)*(B$12/B7)*D$12,0),1)</f>
        <v>67</v>
      </c>
    </row>
    <row r="8" spans="1:6" x14ac:dyDescent="0.25">
      <c r="A8" t="s">
        <v>159</v>
      </c>
      <c r="B8">
        <v>1</v>
      </c>
      <c r="C8">
        <f>sources_distweight!H25</f>
        <v>34.009766140512674</v>
      </c>
      <c r="D8">
        <f>MAX(ROUND((C8/C$12)*(B$12/B8)*D$12,0),1)</f>
        <v>62</v>
      </c>
    </row>
    <row r="9" spans="1:6" x14ac:dyDescent="0.25">
      <c r="A9" t="s">
        <v>148</v>
      </c>
      <c r="B9">
        <v>1</v>
      </c>
      <c r="C9">
        <f>sources_distweight!H32</f>
        <v>9.3171730705664011</v>
      </c>
      <c r="D9">
        <f>MAX(ROUND((C9/C$12)*(B$12/B9)*D$12,0),1)</f>
        <v>17</v>
      </c>
    </row>
    <row r="10" spans="1:6" x14ac:dyDescent="0.25">
      <c r="A10" t="s">
        <v>154</v>
      </c>
      <c r="B10">
        <v>4</v>
      </c>
      <c r="C10">
        <f>sources_distweight!H30 *(50/150)</f>
        <v>33.333333333333329</v>
      </c>
      <c r="D10">
        <f>MAX(ROUND((C10/C$12)*(B$12/B10)*D$12,0),1)</f>
        <v>15</v>
      </c>
      <c r="E10">
        <v>23800</v>
      </c>
      <c r="F10">
        <f>(25/12)*4</f>
        <v>8.3333333333333339</v>
      </c>
    </row>
    <row r="11" spans="1:6" x14ac:dyDescent="0.25">
      <c r="A11" t="s">
        <v>30</v>
      </c>
      <c r="B11">
        <v>12</v>
      </c>
      <c r="C11">
        <f>sources_distweight!H30 *(100/150)</f>
        <v>66.666666666666657</v>
      </c>
      <c r="D11">
        <f>MAX(ROUND((C11/C$12)*(B$12/B11)*D$12,0),1)</f>
        <v>10</v>
      </c>
      <c r="E11">
        <v>23800</v>
      </c>
      <c r="F11">
        <v>25</v>
      </c>
    </row>
    <row r="12" spans="1:6" x14ac:dyDescent="0.25">
      <c r="A12" t="s">
        <v>150</v>
      </c>
      <c r="B12">
        <v>1</v>
      </c>
      <c r="C12">
        <f>sources_distweight!H33</f>
        <v>54.857878770717939</v>
      </c>
      <c r="D12">
        <v>100</v>
      </c>
    </row>
    <row r="13" spans="1:6" x14ac:dyDescent="0.25">
      <c r="A13" t="s">
        <v>153</v>
      </c>
      <c r="B13">
        <v>6</v>
      </c>
      <c r="C13">
        <f>sources_distweight!H36</f>
        <v>151.79897460247545</v>
      </c>
      <c r="D13">
        <f>MAX(ROUND((C13/C$12)*(B$12/B13)*D$12,0),1)</f>
        <v>46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899E8-54B1-43FC-8D0D-AB96EFB28203}">
  <dimension ref="A1:T61"/>
  <sheetViews>
    <sheetView topLeftCell="G28" workbookViewId="0">
      <selection activeCell="C58" sqref="C58"/>
    </sheetView>
  </sheetViews>
  <sheetFormatPr defaultRowHeight="15" x14ac:dyDescent="0.25"/>
  <cols>
    <col min="1" max="1" width="21.42578125" customWidth="1"/>
    <col min="2" max="2" width="14.85546875" customWidth="1"/>
    <col min="3" max="3" width="15.5703125" customWidth="1"/>
  </cols>
  <sheetData>
    <row r="1" spans="1:20" x14ac:dyDescent="0.25">
      <c r="A1" s="1" t="s">
        <v>12</v>
      </c>
      <c r="B1" s="1" t="s">
        <v>107</v>
      </c>
      <c r="C1" s="7" t="s">
        <v>108</v>
      </c>
      <c r="I1" s="7" t="s">
        <v>112</v>
      </c>
      <c r="J1" s="1"/>
      <c r="K1" s="1"/>
      <c r="L1" s="1"/>
      <c r="M1" s="1"/>
      <c r="O1" s="7" t="s">
        <v>109</v>
      </c>
    </row>
    <row r="2" spans="1:20" x14ac:dyDescent="0.25">
      <c r="C2" s="8" t="s">
        <v>2</v>
      </c>
      <c r="D2" t="s">
        <v>72</v>
      </c>
      <c r="E2" t="s">
        <v>3</v>
      </c>
      <c r="F2" t="s">
        <v>4</v>
      </c>
      <c r="G2" t="s">
        <v>5</v>
      </c>
      <c r="H2" t="s">
        <v>6</v>
      </c>
      <c r="I2" s="8" t="s">
        <v>2</v>
      </c>
      <c r="J2" t="s">
        <v>72</v>
      </c>
      <c r="K2" t="s">
        <v>3</v>
      </c>
      <c r="L2" t="s">
        <v>4</v>
      </c>
      <c r="M2" t="s">
        <v>5</v>
      </c>
      <c r="N2" t="s">
        <v>6</v>
      </c>
      <c r="O2" s="8" t="s">
        <v>2</v>
      </c>
      <c r="P2" t="s">
        <v>72</v>
      </c>
      <c r="Q2" t="s">
        <v>3</v>
      </c>
      <c r="R2" t="s">
        <v>4</v>
      </c>
      <c r="S2" t="s">
        <v>5</v>
      </c>
      <c r="T2" t="s">
        <v>6</v>
      </c>
    </row>
    <row r="3" spans="1:20" x14ac:dyDescent="0.25">
      <c r="A3" t="s">
        <v>16</v>
      </c>
      <c r="B3">
        <f>SUMPRODUCT(O3:T3,G34:L34)/SUM(G34:L34)</f>
        <v>1.1603904898471968</v>
      </c>
      <c r="C3" s="8">
        <f>meat!H2</f>
        <v>48</v>
      </c>
      <c r="F3">
        <f>flour!H2</f>
        <v>15</v>
      </c>
      <c r="G3">
        <f>vegetables!H2</f>
        <v>93</v>
      </c>
      <c r="H3">
        <f>fruit!H2</f>
        <v>48</v>
      </c>
      <c r="I3" s="8">
        <f>meat!I2</f>
        <v>72</v>
      </c>
      <c r="L3">
        <f>flour!I2</f>
        <v>39.454034524287351</v>
      </c>
      <c r="M3">
        <f>vegetables!I2</f>
        <v>36.872232776241404</v>
      </c>
      <c r="N3">
        <f>fruit!I2</f>
        <v>88.393392628299338</v>
      </c>
      <c r="O3" s="8">
        <f>I3/C3</f>
        <v>1.5</v>
      </c>
      <c r="R3">
        <f>L3/F3</f>
        <v>2.6302689682858236</v>
      </c>
      <c r="S3">
        <f>M3/G3</f>
        <v>0.39647562124990759</v>
      </c>
      <c r="T3">
        <f>N3/H3</f>
        <v>1.8415290130895696</v>
      </c>
    </row>
    <row r="4" spans="1:20" x14ac:dyDescent="0.25">
      <c r="A4" t="s">
        <v>78</v>
      </c>
      <c r="C4" s="8"/>
      <c r="I4" s="8"/>
      <c r="O4" s="8"/>
    </row>
    <row r="5" spans="1:20" x14ac:dyDescent="0.25">
      <c r="A5" t="s">
        <v>155</v>
      </c>
      <c r="C5" s="8"/>
      <c r="I5" s="8"/>
      <c r="O5" s="8"/>
    </row>
    <row r="6" spans="1:20" x14ac:dyDescent="0.25">
      <c r="A6" t="s">
        <v>59</v>
      </c>
      <c r="B6">
        <f>SUMPRODUCT(O6:T6,G37:L37)/SUM(G37:L37)</f>
        <v>0.92034098560458022</v>
      </c>
      <c r="C6" s="8"/>
      <c r="G6">
        <f>vegetables!H3</f>
        <v>27</v>
      </c>
      <c r="H6">
        <f>fruit!H3</f>
        <v>27</v>
      </c>
      <c r="I6" s="8"/>
      <c r="M6">
        <f>vegetables!I3</f>
        <v>14.510797688469392</v>
      </c>
      <c r="N6">
        <f>fruit!I3</f>
        <v>35.187615534177937</v>
      </c>
      <c r="O6" s="8"/>
      <c r="S6">
        <f>M6/G6</f>
        <v>0.53743695142479231</v>
      </c>
      <c r="T6">
        <f>N6/H6</f>
        <v>1.3032450197843681</v>
      </c>
    </row>
    <row r="7" spans="1:20" x14ac:dyDescent="0.25">
      <c r="A7" t="s">
        <v>55</v>
      </c>
      <c r="B7">
        <f>AVERAGE(O7:R7)</f>
        <v>5.6112404656764232</v>
      </c>
      <c r="C7" s="8"/>
      <c r="F7">
        <f>flour!H2</f>
        <v>15</v>
      </c>
      <c r="I7" s="8"/>
      <c r="L7">
        <f>flour!I3</f>
        <v>84.168606985146354</v>
      </c>
      <c r="O7" s="8"/>
      <c r="R7">
        <f>L7/F7</f>
        <v>5.6112404656764232</v>
      </c>
    </row>
    <row r="8" spans="1:20" x14ac:dyDescent="0.25">
      <c r="A8" t="s">
        <v>21</v>
      </c>
      <c r="B8">
        <f>AVERAGE(O8:R8)</f>
        <v>0.625</v>
      </c>
      <c r="C8" s="8">
        <f>meat!H3</f>
        <v>24</v>
      </c>
      <c r="I8" s="8">
        <f>meat!I3</f>
        <v>15</v>
      </c>
      <c r="O8" s="8">
        <f>I8/C8</f>
        <v>0.625</v>
      </c>
    </row>
    <row r="9" spans="1:20" x14ac:dyDescent="0.25">
      <c r="A9" t="s">
        <v>22</v>
      </c>
      <c r="B9">
        <f>SUMPRODUCT(O9:T9,G40:L40)/SUM(G40:L40)</f>
        <v>0.81343256337992842</v>
      </c>
      <c r="C9" s="8">
        <f>meat!H4</f>
        <v>57.6</v>
      </c>
      <c r="F9">
        <f>flour!H4</f>
        <v>18</v>
      </c>
      <c r="G9">
        <f>vegetables!H4</f>
        <v>111.6</v>
      </c>
      <c r="H9">
        <f>fruit!H4</f>
        <v>57.6</v>
      </c>
      <c r="I9" s="8">
        <f>meat!I4</f>
        <v>54</v>
      </c>
      <c r="L9">
        <f>flour!I4</f>
        <v>24.070754716981085</v>
      </c>
      <c r="M9">
        <f>vegetables!I4</f>
        <v>71.382713568594397</v>
      </c>
      <c r="N9">
        <f>fruit!I4</f>
        <v>49.674823229830999</v>
      </c>
      <c r="O9" s="8">
        <f>I9/C9</f>
        <v>0.9375</v>
      </c>
      <c r="R9">
        <f>L9/F9</f>
        <v>1.3372641509433936</v>
      </c>
      <c r="S9">
        <f>M9/G9</f>
        <v>0.63963004989779926</v>
      </c>
      <c r="T9">
        <f>N9/H9</f>
        <v>0.86241012551789931</v>
      </c>
    </row>
    <row r="10" spans="1:20" x14ac:dyDescent="0.25">
      <c r="A10" t="s">
        <v>79</v>
      </c>
      <c r="C10" s="8"/>
      <c r="I10" s="8"/>
      <c r="O10" s="8"/>
    </row>
    <row r="11" spans="1:20" x14ac:dyDescent="0.25">
      <c r="A11" t="s">
        <v>156</v>
      </c>
      <c r="C11" s="8"/>
      <c r="I11" s="8"/>
      <c r="O11" s="8"/>
    </row>
    <row r="12" spans="1:20" x14ac:dyDescent="0.25">
      <c r="A12" t="s">
        <v>118</v>
      </c>
      <c r="B12">
        <f>SUMPRODUCT(O12:T12,G43:L43)/SUM(G43:L43)</f>
        <v>0.76693295025214214</v>
      </c>
      <c r="C12" s="8"/>
      <c r="G12">
        <f>vegetables!H5</f>
        <v>54</v>
      </c>
      <c r="H12">
        <f>fruit!H5</f>
        <v>72</v>
      </c>
      <c r="I12" s="8"/>
      <c r="M12">
        <f>vegetables!I5</f>
        <v>34.540022694481159</v>
      </c>
      <c r="N12">
        <f>fruit!I5</f>
        <v>62.093529037288747</v>
      </c>
      <c r="O12" s="8"/>
      <c r="S12">
        <f>M12/G12</f>
        <v>0.63963004989779926</v>
      </c>
      <c r="T12">
        <f>N12/H12</f>
        <v>0.86241012551789931</v>
      </c>
    </row>
    <row r="13" spans="1:20" x14ac:dyDescent="0.25">
      <c r="A13" t="s">
        <v>56</v>
      </c>
      <c r="B13">
        <f>AVERAGE(O13:R13)</f>
        <v>1.3372641509433936</v>
      </c>
      <c r="C13" s="8"/>
      <c r="F13">
        <f>flour!H5</f>
        <v>60</v>
      </c>
      <c r="I13" s="8"/>
      <c r="L13">
        <f>flour!I5</f>
        <v>80.235849056603612</v>
      </c>
      <c r="O13" s="8"/>
      <c r="R13">
        <f>L13/F13</f>
        <v>1.3372641509433936</v>
      </c>
    </row>
    <row r="14" spans="1:20" x14ac:dyDescent="0.25">
      <c r="A14" t="s">
        <v>23</v>
      </c>
      <c r="B14">
        <f>AVERAGE(O14:R14)</f>
        <v>0.93333333333333335</v>
      </c>
      <c r="C14" s="8">
        <f>meat!H5</f>
        <v>60</v>
      </c>
      <c r="I14" s="8">
        <f>meat!I5</f>
        <v>56</v>
      </c>
      <c r="O14" s="8">
        <f>I14/C14</f>
        <v>0.93333333333333335</v>
      </c>
    </row>
    <row r="15" spans="1:20" x14ac:dyDescent="0.25">
      <c r="A15" t="s">
        <v>26</v>
      </c>
      <c r="B15">
        <f>SUMPRODUCT(O15:T15,G46:L46)/SUM(G46:L46)</f>
        <v>1.5518092679158486</v>
      </c>
      <c r="C15" s="8">
        <f>meat!H6</f>
        <v>12.8</v>
      </c>
      <c r="F15">
        <f>flour!H6</f>
        <v>4</v>
      </c>
      <c r="G15">
        <f>vegetables!H6</f>
        <v>24.8</v>
      </c>
      <c r="H15">
        <f>fruit!H6</f>
        <v>12.8</v>
      </c>
      <c r="I15" s="8">
        <f>meat!I6</f>
        <v>17.579496008330445</v>
      </c>
      <c r="L15">
        <f>flour!I6</f>
        <v>3.3874409386395881</v>
      </c>
      <c r="M15">
        <f>vegetables!I6</f>
        <v>47.727106924248339</v>
      </c>
      <c r="N15">
        <f>fruit!I6</f>
        <v>15.724380303403803</v>
      </c>
      <c r="O15" s="8">
        <f>I15/C15</f>
        <v>1.3733981256508159</v>
      </c>
      <c r="R15">
        <f>L15/F15</f>
        <v>0.84686023465989702</v>
      </c>
      <c r="S15">
        <f>M15/G15</f>
        <v>1.9244801179132394</v>
      </c>
      <c r="T15">
        <f>N15/H15</f>
        <v>1.2284672112034221</v>
      </c>
    </row>
    <row r="16" spans="1:20" x14ac:dyDescent="0.25">
      <c r="A16" t="s">
        <v>80</v>
      </c>
      <c r="C16" s="8"/>
      <c r="I16" s="8"/>
      <c r="O16" s="8"/>
    </row>
    <row r="17" spans="1:20" x14ac:dyDescent="0.25">
      <c r="A17" t="s">
        <v>157</v>
      </c>
      <c r="C17" s="8"/>
      <c r="I17" s="8"/>
      <c r="O17" s="8"/>
    </row>
    <row r="18" spans="1:20" x14ac:dyDescent="0.25">
      <c r="A18" t="s">
        <v>61</v>
      </c>
      <c r="B18">
        <f>SUMPRODUCT(O18:T18,G49:L49)/SUM(G49:L49)</f>
        <v>1.5077059222786182</v>
      </c>
      <c r="C18" s="8"/>
      <c r="G18">
        <f>vegetables!H7</f>
        <v>80.400000000000006</v>
      </c>
      <c r="H18">
        <f>fruit!H7</f>
        <v>120</v>
      </c>
      <c r="I18" s="8"/>
      <c r="M18">
        <f>vegetables!I7</f>
        <v>154.72820148022444</v>
      </c>
      <c r="N18">
        <f>fruit!I7</f>
        <v>147.41606534441064</v>
      </c>
      <c r="O18" s="8"/>
      <c r="S18">
        <f>M18/G18</f>
        <v>1.9244801179132391</v>
      </c>
      <c r="T18">
        <f>N18/H18</f>
        <v>1.2284672112034221</v>
      </c>
    </row>
    <row r="19" spans="1:20" x14ac:dyDescent="0.25">
      <c r="A19" t="s">
        <v>57</v>
      </c>
      <c r="B19">
        <f>AVERAGE(O19:R19)</f>
        <v>0.84686023465989713</v>
      </c>
      <c r="C19" s="8"/>
      <c r="F19">
        <f>flour!H7</f>
        <v>81</v>
      </c>
      <c r="I19" s="8"/>
      <c r="L19">
        <f>flour!I7</f>
        <v>68.595679007451665</v>
      </c>
      <c r="O19" s="8"/>
      <c r="R19">
        <f>L19/F19</f>
        <v>0.84686023465989713</v>
      </c>
    </row>
    <row r="20" spans="1:20" x14ac:dyDescent="0.25">
      <c r="A20" t="s">
        <v>24</v>
      </c>
      <c r="B20">
        <f>AVERAGE(O20:R20)</f>
        <v>1.3733981256508159</v>
      </c>
      <c r="C20" s="8">
        <f>meat!H7</f>
        <v>81</v>
      </c>
      <c r="I20" s="8">
        <f>meat!I7</f>
        <v>111.24524817771609</v>
      </c>
      <c r="O20" s="8">
        <f>I20/C20</f>
        <v>1.3733981256508159</v>
      </c>
    </row>
    <row r="21" spans="1:20" x14ac:dyDescent="0.25">
      <c r="A21" t="s">
        <v>27</v>
      </c>
      <c r="B21">
        <f>SUMPRODUCT(O21:T21,G52:L52)/SUM(G52:L52)</f>
        <v>1.6332232747837825</v>
      </c>
      <c r="C21" s="8">
        <f>meat!H8</f>
        <v>7.68</v>
      </c>
      <c r="F21">
        <f>flour!H8</f>
        <v>2.4</v>
      </c>
      <c r="G21">
        <f>vegetables!H8</f>
        <v>14.88</v>
      </c>
      <c r="H21">
        <f>fruit!H8</f>
        <v>7.68</v>
      </c>
      <c r="I21" s="8">
        <f>meat!I8</f>
        <v>14.062671872347661</v>
      </c>
      <c r="L21">
        <f>flour!I8</f>
        <v>1.3396562560584291</v>
      </c>
      <c r="M21">
        <f>vegetables!I8</f>
        <v>28.813368686538901</v>
      </c>
      <c r="N21">
        <f>fruit!I8</f>
        <v>9.0927108739976674</v>
      </c>
      <c r="O21" s="8">
        <f>I21/C21</f>
        <v>1.8310770667119352</v>
      </c>
      <c r="R21">
        <f>L21/F21</f>
        <v>0.5581901066910121</v>
      </c>
      <c r="S21">
        <f>M21/G21</f>
        <v>1.9363823042028829</v>
      </c>
      <c r="T21">
        <f>N21/H21</f>
        <v>1.1839467283851131</v>
      </c>
    </row>
    <row r="22" spans="1:20" x14ac:dyDescent="0.25">
      <c r="A22" t="s">
        <v>158</v>
      </c>
      <c r="C22" s="8"/>
      <c r="I22" s="8"/>
      <c r="O22" s="8"/>
    </row>
    <row r="23" spans="1:20" x14ac:dyDescent="0.25">
      <c r="A23" t="s">
        <v>62</v>
      </c>
      <c r="B23">
        <f>SUMPRODUCT(O23:T23,G54:L54)/SUM(G54:L54)</f>
        <v>0.63915711795703745</v>
      </c>
      <c r="C23" s="8"/>
      <c r="G23">
        <f>vegetables!H9</f>
        <v>60.3</v>
      </c>
      <c r="H23">
        <f>fruit!H9</f>
        <v>90</v>
      </c>
      <c r="I23" s="8"/>
      <c r="M23">
        <f>vegetables!I9</f>
        <v>41.32964850745185</v>
      </c>
      <c r="N23">
        <f>fruit!I9</f>
        <v>54.735666321490882</v>
      </c>
      <c r="O23" s="8"/>
      <c r="S23">
        <f>M23/G23</f>
        <v>0.68540047276039551</v>
      </c>
      <c r="T23">
        <f>N23/H23</f>
        <v>0.60817407023878756</v>
      </c>
    </row>
    <row r="24" spans="1:20" x14ac:dyDescent="0.25">
      <c r="A24" t="s">
        <v>58</v>
      </c>
      <c r="B24">
        <f>AVERAGE(O24:R24)</f>
        <v>0.5581901066910121</v>
      </c>
      <c r="C24" s="8"/>
      <c r="F24">
        <f>flour!H9</f>
        <v>96</v>
      </c>
      <c r="I24" s="8"/>
      <c r="L24">
        <f>flour!I9</f>
        <v>53.586250242337158</v>
      </c>
      <c r="O24" s="8"/>
      <c r="R24">
        <f>L24/F24</f>
        <v>0.5581901066910121</v>
      </c>
    </row>
    <row r="25" spans="1:20" x14ac:dyDescent="0.25">
      <c r="A25" t="s">
        <v>25</v>
      </c>
      <c r="B25">
        <f>AVERAGE(O25:R25)</f>
        <v>1.8310770667119352</v>
      </c>
      <c r="C25" s="8">
        <f>meat!H9</f>
        <v>48</v>
      </c>
      <c r="I25" s="8">
        <f>meat!I9</f>
        <v>87.891699202172887</v>
      </c>
      <c r="O25" s="8">
        <f>I25/C25</f>
        <v>1.8310770667119352</v>
      </c>
    </row>
    <row r="26" spans="1:20" x14ac:dyDescent="0.25">
      <c r="A26" t="s">
        <v>31</v>
      </c>
      <c r="B26">
        <f>SUMPRODUCT(O26:T26,G57:L57)/SUM(G57:L57)</f>
        <v>1.1892883011865614</v>
      </c>
      <c r="C26" s="8">
        <f>meat!H10</f>
        <v>10.08</v>
      </c>
      <c r="D26">
        <f>milk!H5</f>
        <v>7.84</v>
      </c>
      <c r="F26">
        <f>flour!H10</f>
        <v>5.04</v>
      </c>
      <c r="G26">
        <f>vegetables!H10</f>
        <v>19.53</v>
      </c>
      <c r="H26">
        <f>fruit!H10</f>
        <v>10.08</v>
      </c>
      <c r="I26" s="8">
        <f>meat!I10</f>
        <v>7.7385173493797668</v>
      </c>
      <c r="J26">
        <f>milk!I5</f>
        <v>30.693877654494855</v>
      </c>
      <c r="L26">
        <f>flour!I10</f>
        <v>1.9009929568363839</v>
      </c>
      <c r="M26">
        <f>vegetables!I10</f>
        <v>13.385871233010525</v>
      </c>
      <c r="N26">
        <f>fruit!I10</f>
        <v>6.1303946280069788</v>
      </c>
      <c r="O26" s="8">
        <f>I26/C26</f>
        <v>0.76771005450196095</v>
      </c>
      <c r="P26" s="8">
        <f>J26/D26</f>
        <v>3.91503541511414</v>
      </c>
      <c r="R26">
        <f t="shared" ref="R26:T27" si="0">L26/F26</f>
        <v>0.37718114222944127</v>
      </c>
      <c r="S26">
        <f t="shared" si="0"/>
        <v>0.68540047276039551</v>
      </c>
      <c r="T26">
        <f t="shared" si="0"/>
        <v>0.60817407023878756</v>
      </c>
    </row>
    <row r="27" spans="1:20" x14ac:dyDescent="0.25">
      <c r="A27" t="s">
        <v>29</v>
      </c>
      <c r="B27">
        <f>SUMPRODUCT(O27:T27,G58:L58)/SUM(G58:L58)</f>
        <v>1.6157998592948615</v>
      </c>
      <c r="C27" s="8">
        <f>meat!H11</f>
        <v>85.12</v>
      </c>
      <c r="D27">
        <f>milk!H6</f>
        <v>74.48</v>
      </c>
      <c r="F27">
        <f>flour!H11</f>
        <v>42.56</v>
      </c>
      <c r="G27">
        <f>vegetables!H11</f>
        <v>164.92</v>
      </c>
      <c r="H27">
        <f>fruit!H11</f>
        <v>85.12</v>
      </c>
      <c r="I27" s="8">
        <f>meat!I11</f>
        <v>101.95551190220539</v>
      </c>
      <c r="J27">
        <f>milk!I6</f>
        <v>323.07099918327651</v>
      </c>
      <c r="L27">
        <f>flour!I11</f>
        <v>51.961890085904457</v>
      </c>
      <c r="M27">
        <f>vegetables!I11</f>
        <v>152.28404036826637</v>
      </c>
      <c r="N27">
        <f>fruit!I11</f>
        <v>101.39225483348358</v>
      </c>
      <c r="O27" s="8">
        <f>I27/C27</f>
        <v>1.197785619151849</v>
      </c>
      <c r="P27" s="8">
        <f>J27/D27</f>
        <v>4.3376879589591368</v>
      </c>
      <c r="R27">
        <f t="shared" si="0"/>
        <v>1.2209090715673039</v>
      </c>
      <c r="S27">
        <f t="shared" si="0"/>
        <v>0.92338127800307046</v>
      </c>
      <c r="T27">
        <f t="shared" si="0"/>
        <v>1.1911684073482562</v>
      </c>
    </row>
    <row r="28" spans="1:20" x14ac:dyDescent="0.25">
      <c r="A28" t="s">
        <v>159</v>
      </c>
      <c r="B28">
        <f>SUMPRODUCT(O28:T28,G59:L59)/SUM(G59:L59)</f>
        <v>1.5914054016822561</v>
      </c>
      <c r="D28">
        <f>milk!H7</f>
        <v>2.88</v>
      </c>
      <c r="J28">
        <f>milk!I7</f>
        <v>4.5832475568448974</v>
      </c>
      <c r="P28">
        <f>J28/D28</f>
        <v>1.5914054016822561</v>
      </c>
    </row>
    <row r="29" spans="1:20" x14ac:dyDescent="0.25">
      <c r="A29" t="s">
        <v>154</v>
      </c>
      <c r="B29">
        <f>SUMPRODUCT(O29:T29,G61:L61)/SUM(G61:L61)</f>
        <v>1.1285901915113203</v>
      </c>
      <c r="C29">
        <f>meat!H12</f>
        <v>33.6</v>
      </c>
      <c r="D29">
        <f>milk!H8</f>
        <v>58.8</v>
      </c>
      <c r="F29">
        <f>flour!H12</f>
        <v>16.8</v>
      </c>
      <c r="G29">
        <f>vegetables!H12</f>
        <v>65.099999999999994</v>
      </c>
      <c r="H29">
        <f>fruit!H12</f>
        <v>33.6</v>
      </c>
      <c r="I29" s="8">
        <f>meat!I12</f>
        <v>35.245280458418627</v>
      </c>
      <c r="J29">
        <f>milk!I8</f>
        <v>87.219033064690933</v>
      </c>
      <c r="L29">
        <f>flour!I12</f>
        <v>19.359081349056563</v>
      </c>
      <c r="M29">
        <f>vegetables!I12</f>
        <v>50.100304759889355</v>
      </c>
      <c r="N29">
        <f>fruit!I12</f>
        <v>42.710201183148001</v>
      </c>
      <c r="O29" s="8">
        <f>I29/C29</f>
        <v>1.0489666803100781</v>
      </c>
      <c r="P29" s="8">
        <f>J29/D29</f>
        <v>1.4833168888552881</v>
      </c>
      <c r="R29">
        <f>L29/F29</f>
        <v>1.1523262707771764</v>
      </c>
      <c r="S29">
        <f>M29/G29</f>
        <v>0.76958993486773208</v>
      </c>
      <c r="T29">
        <f>N29/H29</f>
        <v>1.2711369399746428</v>
      </c>
    </row>
    <row r="30" spans="1:20" x14ac:dyDescent="0.25">
      <c r="A30" t="s">
        <v>30</v>
      </c>
      <c r="B30">
        <f>SUMPRODUCT(O30:T30,G60:L60)/SUM(G60:L60)</f>
        <v>1.1387527517612541</v>
      </c>
      <c r="C30" s="8">
        <f>meat!H13</f>
        <v>67.2</v>
      </c>
      <c r="D30">
        <f>milk!H9</f>
        <v>117.6</v>
      </c>
      <c r="F30">
        <f>flour!H13</f>
        <v>33.6</v>
      </c>
      <c r="G30">
        <f>vegetables!H13</f>
        <v>130.19999999999999</v>
      </c>
      <c r="H30">
        <f>fruit!H13</f>
        <v>67.2</v>
      </c>
      <c r="I30" s="8">
        <f>meat!I13</f>
        <v>70.490560916837254</v>
      </c>
      <c r="J30">
        <f>milk!I9</f>
        <v>178.37974299930198</v>
      </c>
      <c r="L30">
        <f>flour!I13</f>
        <v>38.720190845282943</v>
      </c>
      <c r="M30">
        <f>vegetables!I13</f>
        <v>101.268170183672</v>
      </c>
      <c r="N30">
        <f>fruit!I13</f>
        <v>84.634729237235277</v>
      </c>
      <c r="O30" s="8">
        <f>I30/C30</f>
        <v>1.0489666803100781</v>
      </c>
      <c r="P30" s="8">
        <f>J30/D30</f>
        <v>1.5168345493137925</v>
      </c>
      <c r="R30">
        <f>L30/F30</f>
        <v>1.1523866323000875</v>
      </c>
      <c r="S30">
        <f>M30/G30</f>
        <v>0.77778932552743474</v>
      </c>
      <c r="T30">
        <f>N30/H30</f>
        <v>1.2594453755540964</v>
      </c>
    </row>
    <row r="32" spans="1:20" x14ac:dyDescent="0.25">
      <c r="A32" s="1" t="s">
        <v>12</v>
      </c>
      <c r="B32" s="1" t="s">
        <v>115</v>
      </c>
      <c r="C32" s="1" t="s">
        <v>120</v>
      </c>
      <c r="D32" s="1" t="s">
        <v>113</v>
      </c>
      <c r="E32" s="1" t="s">
        <v>114</v>
      </c>
      <c r="G32" s="7" t="s">
        <v>19</v>
      </c>
      <c r="M32" s="7" t="s">
        <v>116</v>
      </c>
    </row>
    <row r="33" spans="1:18" x14ac:dyDescent="0.25">
      <c r="G33" s="8" t="s">
        <v>2</v>
      </c>
      <c r="H33" t="s">
        <v>72</v>
      </c>
      <c r="I33" t="s">
        <v>3</v>
      </c>
      <c r="J33" t="s">
        <v>4</v>
      </c>
      <c r="K33" t="s">
        <v>5</v>
      </c>
      <c r="L33" t="s">
        <v>6</v>
      </c>
      <c r="M33" s="8" t="s">
        <v>2</v>
      </c>
      <c r="N33" t="s">
        <v>72</v>
      </c>
      <c r="O33" t="s">
        <v>3</v>
      </c>
      <c r="P33" t="s">
        <v>4</v>
      </c>
      <c r="Q33" t="s">
        <v>5</v>
      </c>
      <c r="R33" t="s">
        <v>6</v>
      </c>
    </row>
    <row r="34" spans="1:18" x14ac:dyDescent="0.25">
      <c r="A34" t="s">
        <v>16</v>
      </c>
      <c r="B34">
        <v>75</v>
      </c>
      <c r="D34">
        <v>4</v>
      </c>
      <c r="E34">
        <f>ROUND(D34*B3,0)</f>
        <v>5</v>
      </c>
      <c r="G34" s="8">
        <v>16</v>
      </c>
      <c r="J34">
        <v>5</v>
      </c>
      <c r="K34">
        <v>31</v>
      </c>
      <c r="L34">
        <v>16</v>
      </c>
      <c r="M34" s="8">
        <f>ROUND((O3/($E34/$D34))*G34,0)</f>
        <v>19</v>
      </c>
      <c r="P34">
        <f>ROUND((R3/($E34/$D34))*J34,0)</f>
        <v>11</v>
      </c>
      <c r="Q34">
        <f>ROUND((S3/($E34/$D34))*K34,0)</f>
        <v>10</v>
      </c>
      <c r="R34">
        <f>ROUND((T3/($E34/$D34))*L34,0)</f>
        <v>24</v>
      </c>
    </row>
    <row r="35" spans="1:18" x14ac:dyDescent="0.25">
      <c r="A35" t="s">
        <v>78</v>
      </c>
      <c r="D35">
        <v>5</v>
      </c>
      <c r="H35">
        <v>100</v>
      </c>
    </row>
    <row r="36" spans="1:18" x14ac:dyDescent="0.25">
      <c r="A36" t="s">
        <v>155</v>
      </c>
    </row>
    <row r="37" spans="1:18" x14ac:dyDescent="0.25">
      <c r="A37" t="s">
        <v>59</v>
      </c>
      <c r="D37">
        <v>1</v>
      </c>
      <c r="E37">
        <f>ROUND(D37*B6,0)</f>
        <v>1</v>
      </c>
      <c r="G37" s="8"/>
      <c r="K37">
        <v>100</v>
      </c>
      <c r="L37">
        <v>100</v>
      </c>
      <c r="M37" s="8"/>
      <c r="Q37">
        <f>ROUND((S6/($E37/$D37))*K37,0)</f>
        <v>54</v>
      </c>
      <c r="R37">
        <f>ROUND((T6/($E37/$D37))*L37,0)</f>
        <v>130</v>
      </c>
    </row>
    <row r="38" spans="1:18" x14ac:dyDescent="0.25">
      <c r="A38" t="s">
        <v>55</v>
      </c>
      <c r="G38" s="8"/>
      <c r="M38" s="8"/>
    </row>
    <row r="39" spans="1:18" x14ac:dyDescent="0.25">
      <c r="A39" t="s">
        <v>21</v>
      </c>
      <c r="B39">
        <v>24</v>
      </c>
      <c r="D39">
        <v>1</v>
      </c>
      <c r="E39">
        <f>ROUND(D39*B8,0)</f>
        <v>1</v>
      </c>
      <c r="G39" s="8">
        <v>100</v>
      </c>
      <c r="M39" s="8">
        <f>ROUND((O8/($E39/$D39))*G39,0)</f>
        <v>63</v>
      </c>
    </row>
    <row r="40" spans="1:18" x14ac:dyDescent="0.25">
      <c r="A40" t="s">
        <v>22</v>
      </c>
      <c r="B40">
        <v>45</v>
      </c>
      <c r="D40">
        <v>8</v>
      </c>
      <c r="E40">
        <f>ROUND(D40*B9,0)</f>
        <v>7</v>
      </c>
      <c r="G40" s="8">
        <v>16</v>
      </c>
      <c r="J40">
        <v>5</v>
      </c>
      <c r="K40">
        <v>31</v>
      </c>
      <c r="L40">
        <v>16</v>
      </c>
      <c r="M40" s="8">
        <f>ROUND((O9/($E40/$D40))*G40,0)</f>
        <v>17</v>
      </c>
      <c r="P40">
        <f>ROUND((R9/($E40/$D40))*J40,0)</f>
        <v>8</v>
      </c>
      <c r="Q40">
        <f>ROUND((S9/($E40/$D40))*K40,0)</f>
        <v>23</v>
      </c>
      <c r="R40">
        <f>ROUND((T9/($E40/$D40))*L40,0)</f>
        <v>16</v>
      </c>
    </row>
    <row r="41" spans="1:18" x14ac:dyDescent="0.25">
      <c r="A41" t="s">
        <v>156</v>
      </c>
    </row>
    <row r="42" spans="1:18" x14ac:dyDescent="0.25">
      <c r="A42" t="s">
        <v>79</v>
      </c>
      <c r="D42">
        <v>10</v>
      </c>
      <c r="H42">
        <v>100</v>
      </c>
    </row>
    <row r="43" spans="1:18" x14ac:dyDescent="0.25">
      <c r="A43" t="s">
        <v>118</v>
      </c>
      <c r="D43">
        <v>2</v>
      </c>
      <c r="E43">
        <f>ROUND(D43*B12,0)</f>
        <v>2</v>
      </c>
      <c r="G43" s="8"/>
      <c r="K43">
        <v>75</v>
      </c>
      <c r="L43">
        <v>100</v>
      </c>
      <c r="M43" s="8"/>
      <c r="Q43">
        <f>ROUND((S12/($E43/$D43))*K43,0)</f>
        <v>48</v>
      </c>
      <c r="R43">
        <f>ROUND((T12/($E43/$D43))*L43,0)</f>
        <v>86</v>
      </c>
    </row>
    <row r="44" spans="1:18" x14ac:dyDescent="0.25">
      <c r="A44" t="s">
        <v>56</v>
      </c>
      <c r="G44" s="8"/>
      <c r="M44" s="8"/>
    </row>
    <row r="45" spans="1:18" x14ac:dyDescent="0.25">
      <c r="A45" t="s">
        <v>23</v>
      </c>
      <c r="B45">
        <v>30</v>
      </c>
      <c r="D45">
        <v>2</v>
      </c>
      <c r="E45">
        <f>ROUND(D45*B14,0)</f>
        <v>2</v>
      </c>
      <c r="G45" s="8">
        <v>100</v>
      </c>
      <c r="M45" s="8">
        <f>ROUND((O14/($E45/$D45))*G45,0)</f>
        <v>93</v>
      </c>
    </row>
    <row r="46" spans="1:18" x14ac:dyDescent="0.25">
      <c r="A46" t="s">
        <v>26</v>
      </c>
      <c r="B46">
        <v>10</v>
      </c>
      <c r="D46">
        <v>8</v>
      </c>
      <c r="E46">
        <f>ROUND(D46*B15,0)</f>
        <v>12</v>
      </c>
      <c r="G46" s="8">
        <v>16</v>
      </c>
      <c r="J46">
        <v>5</v>
      </c>
      <c r="K46">
        <v>31</v>
      </c>
      <c r="L46">
        <v>16</v>
      </c>
      <c r="M46" s="8">
        <f>ROUND((O15/($E46/$D46))*G46,0)</f>
        <v>15</v>
      </c>
      <c r="P46">
        <f>ROUND((R15/($E46/$D46))*J46,0)</f>
        <v>3</v>
      </c>
      <c r="Q46">
        <f>ROUND((S15/($E46/$D46))*K46,0)</f>
        <v>40</v>
      </c>
      <c r="R46">
        <f>ROUND((T15/($E46/$D46))*L46,0)</f>
        <v>13</v>
      </c>
    </row>
    <row r="47" spans="1:18" x14ac:dyDescent="0.25">
      <c r="A47" t="s">
        <v>157</v>
      </c>
    </row>
    <row r="48" spans="1:18" x14ac:dyDescent="0.25">
      <c r="A48" t="s">
        <v>80</v>
      </c>
      <c r="D48">
        <v>15</v>
      </c>
      <c r="H48">
        <v>100</v>
      </c>
    </row>
    <row r="49" spans="1:18" x14ac:dyDescent="0.25">
      <c r="A49" t="s">
        <v>61</v>
      </c>
      <c r="D49">
        <v>4</v>
      </c>
      <c r="E49">
        <f>ROUND(D49*B18,0)</f>
        <v>6</v>
      </c>
      <c r="G49" s="8"/>
      <c r="K49">
        <v>67</v>
      </c>
      <c r="L49">
        <v>100</v>
      </c>
      <c r="M49" s="8"/>
      <c r="Q49">
        <f>ROUND((S18/($E49/$D49))*K49,0)</f>
        <v>86</v>
      </c>
      <c r="R49">
        <f>ROUND((T18/($E49/$D49))*L49,0)</f>
        <v>82</v>
      </c>
    </row>
    <row r="50" spans="1:18" x14ac:dyDescent="0.25">
      <c r="A50" t="s">
        <v>57</v>
      </c>
      <c r="G50" s="8"/>
      <c r="M50" s="8"/>
    </row>
    <row r="51" spans="1:18" x14ac:dyDescent="0.25">
      <c r="A51" t="s">
        <v>24</v>
      </c>
      <c r="B51">
        <v>27</v>
      </c>
      <c r="D51">
        <v>3</v>
      </c>
      <c r="E51">
        <f>ROUND(D51*B20,0)</f>
        <v>4</v>
      </c>
      <c r="G51" s="8">
        <v>100</v>
      </c>
      <c r="M51" s="8"/>
    </row>
    <row r="52" spans="1:18" x14ac:dyDescent="0.25">
      <c r="A52" t="s">
        <v>27</v>
      </c>
      <c r="B52">
        <v>4</v>
      </c>
      <c r="D52">
        <v>12</v>
      </c>
      <c r="E52">
        <f>ROUND(D52*B21,0)</f>
        <v>20</v>
      </c>
      <c r="G52" s="8">
        <v>16</v>
      </c>
      <c r="J52">
        <v>5</v>
      </c>
      <c r="K52">
        <v>31</v>
      </c>
      <c r="L52">
        <v>16</v>
      </c>
      <c r="M52" s="8">
        <f>ROUND((O21/($E52/$D52))*G52,0)</f>
        <v>18</v>
      </c>
      <c r="P52">
        <f>ROUND((R21/($E52/$D52))*J52,0)</f>
        <v>2</v>
      </c>
      <c r="Q52">
        <f>ROUND((S21/($E52/$D52))*K52,0)</f>
        <v>36</v>
      </c>
      <c r="R52">
        <f>ROUND((T21/($E52/$D52))*L52,0)</f>
        <v>11</v>
      </c>
    </row>
    <row r="53" spans="1:18" x14ac:dyDescent="0.25">
      <c r="A53" t="s">
        <v>158</v>
      </c>
    </row>
    <row r="54" spans="1:18" x14ac:dyDescent="0.25">
      <c r="A54" t="s">
        <v>62</v>
      </c>
      <c r="D54">
        <v>6</v>
      </c>
      <c r="E54">
        <f>ROUND(D54*B23,0)</f>
        <v>4</v>
      </c>
      <c r="G54" s="8"/>
      <c r="K54">
        <v>67</v>
      </c>
      <c r="L54">
        <v>100</v>
      </c>
      <c r="M54" s="8"/>
      <c r="Q54">
        <f>ROUND((S23/($E54/$D54))*K54,0)</f>
        <v>69</v>
      </c>
      <c r="R54">
        <f>ROUND((T23/($E54/$D54))*L54,0)</f>
        <v>91</v>
      </c>
    </row>
    <row r="55" spans="1:18" x14ac:dyDescent="0.25">
      <c r="A55" t="s">
        <v>58</v>
      </c>
      <c r="G55" s="8"/>
      <c r="M55" s="8"/>
    </row>
    <row r="56" spans="1:18" x14ac:dyDescent="0.25">
      <c r="A56" t="s">
        <v>25</v>
      </c>
      <c r="B56">
        <v>12</v>
      </c>
      <c r="D56">
        <v>4</v>
      </c>
      <c r="E56">
        <f>ROUND(D56*B25,0)</f>
        <v>7</v>
      </c>
      <c r="G56" s="8">
        <v>100</v>
      </c>
      <c r="M56" s="8">
        <f>ROUND((O25/($E56/$D56))*G56,0)</f>
        <v>105</v>
      </c>
    </row>
    <row r="57" spans="1:18" x14ac:dyDescent="0.25">
      <c r="A57" t="s">
        <v>31</v>
      </c>
      <c r="B57">
        <v>9</v>
      </c>
      <c r="D57">
        <v>7</v>
      </c>
      <c r="E57">
        <f>ROUND(D57*B26,0)</f>
        <v>8</v>
      </c>
      <c r="G57" s="8">
        <v>16</v>
      </c>
      <c r="H57">
        <v>14</v>
      </c>
      <c r="J57">
        <v>8</v>
      </c>
      <c r="K57">
        <v>31</v>
      </c>
      <c r="L57">
        <v>16</v>
      </c>
      <c r="M57" s="8">
        <f>ROUND((O26/($E57/$D57))*G57,0)</f>
        <v>11</v>
      </c>
      <c r="N57">
        <f>ROUND((P26/($E57/$D57))*H57,0)</f>
        <v>48</v>
      </c>
      <c r="P57">
        <f>ROUND((R26/($E57/$D57))*J57,0)</f>
        <v>3</v>
      </c>
      <c r="Q57">
        <f>ROUND((S26/($E57/$D57))*K57,0)</f>
        <v>19</v>
      </c>
      <c r="R57">
        <f>ROUND((T26/($E57/$D57))*L57,0)</f>
        <v>9</v>
      </c>
    </row>
    <row r="58" spans="1:18" x14ac:dyDescent="0.25">
      <c r="A58" t="s">
        <v>29</v>
      </c>
      <c r="B58">
        <v>14</v>
      </c>
      <c r="C58">
        <f>dist_calculations!D6</f>
        <v>38</v>
      </c>
      <c r="D58">
        <v>14</v>
      </c>
      <c r="E58">
        <f>ROUND(D58*B27,0)</f>
        <v>23</v>
      </c>
      <c r="G58" s="8">
        <v>16</v>
      </c>
      <c r="H58">
        <v>14</v>
      </c>
      <c r="J58">
        <v>8</v>
      </c>
      <c r="K58">
        <v>31</v>
      </c>
      <c r="L58">
        <v>16</v>
      </c>
      <c r="M58" s="8">
        <f>ROUND((O27/($E58/$D58))*G58,0)</f>
        <v>12</v>
      </c>
      <c r="N58">
        <f>ROUND((P27/($E58/$D58))*H58,0)</f>
        <v>37</v>
      </c>
      <c r="P58">
        <f>ROUND((R27/($E58/$D58))*J58,0)</f>
        <v>6</v>
      </c>
      <c r="Q58">
        <f>ROUND((S27/($E58/$D58))*K58,0)</f>
        <v>17</v>
      </c>
      <c r="R58">
        <f>ROUND((T27/($E58/$D58))*L58,0)</f>
        <v>12</v>
      </c>
    </row>
    <row r="59" spans="1:18" x14ac:dyDescent="0.25">
      <c r="A59" t="s">
        <v>159</v>
      </c>
      <c r="B59">
        <v>2</v>
      </c>
      <c r="D59">
        <v>8</v>
      </c>
      <c r="E59">
        <f>ROUND(D59*B$28,0)</f>
        <v>13</v>
      </c>
      <c r="H59">
        <v>18</v>
      </c>
      <c r="N59" s="8">
        <f>ROUND((P28/($E59/$D59))*H59,0)</f>
        <v>18</v>
      </c>
    </row>
    <row r="60" spans="1:18" x14ac:dyDescent="0.25">
      <c r="A60" t="s">
        <v>154</v>
      </c>
      <c r="B60">
        <v>62</v>
      </c>
      <c r="C60">
        <f>dist_calculations!D10</f>
        <v>15</v>
      </c>
      <c r="D60">
        <v>42</v>
      </c>
      <c r="E60">
        <f>ROUND(D60*B$29,0)</f>
        <v>47</v>
      </c>
      <c r="G60" s="8">
        <v>16</v>
      </c>
      <c r="H60">
        <v>28</v>
      </c>
      <c r="J60">
        <v>8</v>
      </c>
      <c r="K60">
        <v>31</v>
      </c>
      <c r="L60">
        <v>16</v>
      </c>
      <c r="M60" s="8">
        <f>ROUND((O29/($E60/$D60))*G60,0)</f>
        <v>15</v>
      </c>
      <c r="N60" s="8">
        <f>ROUND((P29/($E60/$D60))*H60,0)</f>
        <v>37</v>
      </c>
      <c r="P60" s="8">
        <f>ROUND((R29/($E60/$D60))*J60,0)</f>
        <v>8</v>
      </c>
      <c r="Q60" s="8">
        <f>ROUND((S29/($E60/$D60))*K60,0)</f>
        <v>21</v>
      </c>
      <c r="R60" s="8">
        <f>ROUND((T29/($E60/$D60))*L60,0)</f>
        <v>18</v>
      </c>
    </row>
    <row r="61" spans="1:18" x14ac:dyDescent="0.25">
      <c r="A61" t="s">
        <v>30</v>
      </c>
      <c r="B61">
        <v>41</v>
      </c>
      <c r="C61">
        <f>dist_calculations!D11</f>
        <v>10</v>
      </c>
      <c r="D61">
        <v>42</v>
      </c>
      <c r="E61">
        <f>ROUND(D61*B$30,0)</f>
        <v>48</v>
      </c>
      <c r="G61" s="8">
        <v>16</v>
      </c>
      <c r="H61">
        <v>28</v>
      </c>
      <c r="J61">
        <v>8</v>
      </c>
      <c r="K61">
        <v>31</v>
      </c>
      <c r="L61">
        <v>16</v>
      </c>
      <c r="M61" s="8">
        <f>ROUND((O30/($E61/$D61))*G61,0)</f>
        <v>15</v>
      </c>
      <c r="N61" s="8">
        <f>ROUND((P30/($E61/$D61))*H61,0)</f>
        <v>37</v>
      </c>
      <c r="P61" s="8">
        <f>ROUND((R30/($E61/$D61))*J61,0)</f>
        <v>8</v>
      </c>
      <c r="Q61" s="8">
        <f>ROUND((S30/($E61/$D61))*K61,0)</f>
        <v>21</v>
      </c>
      <c r="R61" s="8">
        <f>ROUND((T30/($E61/$D61))*L61,0)</f>
        <v>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B93CD-F488-4A49-9F28-018FA4EFE61D}">
  <dimension ref="A1:J36"/>
  <sheetViews>
    <sheetView workbookViewId="0">
      <selection activeCell="E11" sqref="E11"/>
    </sheetView>
  </sheetViews>
  <sheetFormatPr defaultRowHeight="15" x14ac:dyDescent="0.25"/>
  <cols>
    <col min="1" max="1" width="21.140625" customWidth="1"/>
    <col min="2" max="2" width="9.7109375" customWidth="1"/>
    <col min="3" max="3" width="23.42578125" customWidth="1"/>
    <col min="4" max="4" width="19.42578125" customWidth="1"/>
    <col min="5" max="5" width="20.140625" customWidth="1"/>
    <col min="6" max="6" width="16.140625" customWidth="1"/>
    <col min="7" max="7" width="17.140625" customWidth="1"/>
    <col min="8" max="8" width="16.42578125" customWidth="1"/>
    <col min="10" max="10" width="19.42578125" customWidth="1"/>
  </cols>
  <sheetData>
    <row r="1" spans="1:10" x14ac:dyDescent="0.25">
      <c r="A1" s="1" t="s">
        <v>12</v>
      </c>
      <c r="B1" s="1" t="s">
        <v>13</v>
      </c>
      <c r="C1" s="1" t="s">
        <v>14</v>
      </c>
      <c r="D1" s="1" t="s">
        <v>15</v>
      </c>
      <c r="E1" s="1" t="s">
        <v>201</v>
      </c>
      <c r="F1" s="1" t="s">
        <v>18</v>
      </c>
      <c r="G1" s="1" t="s">
        <v>19</v>
      </c>
      <c r="H1" s="1" t="s">
        <v>20</v>
      </c>
      <c r="I1" s="1" t="s">
        <v>105</v>
      </c>
      <c r="J1" s="1"/>
    </row>
    <row r="2" spans="1:10" x14ac:dyDescent="0.25">
      <c r="A2" t="s">
        <v>16</v>
      </c>
      <c r="B2">
        <v>1750</v>
      </c>
      <c r="C2">
        <v>1840</v>
      </c>
      <c r="D2">
        <f xml:space="preserve"> (B2+C2)/2</f>
        <v>1795</v>
      </c>
      <c r="E2">
        <v>75</v>
      </c>
      <c r="F2">
        <v>4</v>
      </c>
      <c r="G2">
        <v>16</v>
      </c>
      <c r="H2">
        <f xml:space="preserve"> E2*F2*G2/100</f>
        <v>48</v>
      </c>
      <c r="I2">
        <v>72</v>
      </c>
    </row>
    <row r="3" spans="1:10" x14ac:dyDescent="0.25">
      <c r="A3" t="s">
        <v>21</v>
      </c>
      <c r="B3">
        <v>1820</v>
      </c>
      <c r="C3">
        <v>1840</v>
      </c>
      <c r="D3">
        <f t="shared" ref="D3:D12" si="0" xml:space="preserve"> (B3+C3)/2</f>
        <v>1830</v>
      </c>
      <c r="E3">
        <v>24</v>
      </c>
      <c r="F3">
        <v>1</v>
      </c>
      <c r="G3">
        <v>100</v>
      </c>
      <c r="H3">
        <f t="shared" ref="H3:H12" si="1" xml:space="preserve"> E3*F3*G3/100</f>
        <v>24</v>
      </c>
      <c r="I3">
        <v>15</v>
      </c>
    </row>
    <row r="4" spans="1:10" x14ac:dyDescent="0.25">
      <c r="A4" t="s">
        <v>22</v>
      </c>
      <c r="B4">
        <v>1840</v>
      </c>
      <c r="C4">
        <v>1910</v>
      </c>
      <c r="D4">
        <f t="shared" si="0"/>
        <v>1875</v>
      </c>
      <c r="E4">
        <v>45</v>
      </c>
      <c r="F4">
        <v>8</v>
      </c>
      <c r="G4">
        <v>16</v>
      </c>
      <c r="H4">
        <f t="shared" si="1"/>
        <v>57.6</v>
      </c>
      <c r="I4">
        <v>54</v>
      </c>
    </row>
    <row r="5" spans="1:10" x14ac:dyDescent="0.25">
      <c r="A5" t="s">
        <v>23</v>
      </c>
      <c r="B5">
        <v>1840</v>
      </c>
      <c r="C5">
        <v>1910</v>
      </c>
      <c r="D5">
        <f t="shared" si="0"/>
        <v>1875</v>
      </c>
      <c r="E5">
        <v>30</v>
      </c>
      <c r="F5">
        <v>2</v>
      </c>
      <c r="G5">
        <v>100</v>
      </c>
      <c r="H5">
        <f t="shared" si="1"/>
        <v>60</v>
      </c>
      <c r="I5">
        <v>56</v>
      </c>
    </row>
    <row r="6" spans="1:10" x14ac:dyDescent="0.25">
      <c r="A6" t="s">
        <v>26</v>
      </c>
      <c r="B6">
        <v>1910</v>
      </c>
      <c r="C6">
        <v>1945</v>
      </c>
      <c r="D6">
        <f t="shared" si="0"/>
        <v>1927.5</v>
      </c>
      <c r="E6">
        <v>10</v>
      </c>
      <c r="F6">
        <v>8</v>
      </c>
      <c r="G6">
        <v>16</v>
      </c>
      <c r="H6">
        <f t="shared" si="1"/>
        <v>12.8</v>
      </c>
      <c r="I6">
        <f>(G$25/C$25)*H6</f>
        <v>17.579496008330445</v>
      </c>
    </row>
    <row r="7" spans="1:10" x14ac:dyDescent="0.25">
      <c r="A7" t="s">
        <v>24</v>
      </c>
      <c r="B7">
        <v>1910</v>
      </c>
      <c r="C7">
        <v>1945</v>
      </c>
      <c r="D7">
        <f xml:space="preserve"> (B7+C7)/2</f>
        <v>1927.5</v>
      </c>
      <c r="E7">
        <v>27</v>
      </c>
      <c r="F7">
        <v>3</v>
      </c>
      <c r="G7">
        <v>100</v>
      </c>
      <c r="H7">
        <f t="shared" si="1"/>
        <v>81</v>
      </c>
      <c r="I7">
        <f>(G$25/C$25)*H7</f>
        <v>111.24524817771609</v>
      </c>
    </row>
    <row r="8" spans="1:10" x14ac:dyDescent="0.25">
      <c r="A8" t="s">
        <v>27</v>
      </c>
      <c r="B8">
        <v>1945</v>
      </c>
      <c r="C8">
        <v>1975</v>
      </c>
      <c r="D8">
        <f t="shared" si="0"/>
        <v>1960</v>
      </c>
      <c r="E8">
        <v>4</v>
      </c>
      <c r="F8">
        <v>12</v>
      </c>
      <c r="G8">
        <v>16</v>
      </c>
      <c r="H8">
        <f t="shared" si="1"/>
        <v>7.68</v>
      </c>
      <c r="I8">
        <f>(G$29/C$29)*H8</f>
        <v>14.062671872347661</v>
      </c>
    </row>
    <row r="9" spans="1:10" x14ac:dyDescent="0.25">
      <c r="A9" t="s">
        <v>25</v>
      </c>
      <c r="B9">
        <v>1945</v>
      </c>
      <c r="C9">
        <v>1975</v>
      </c>
      <c r="D9">
        <f t="shared" si="0"/>
        <v>1960</v>
      </c>
      <c r="E9">
        <v>12</v>
      </c>
      <c r="F9">
        <v>4</v>
      </c>
      <c r="G9">
        <v>100</v>
      </c>
      <c r="H9">
        <f t="shared" si="1"/>
        <v>48</v>
      </c>
      <c r="I9">
        <f>(G$29/C$29)*H9</f>
        <v>87.891699202172887</v>
      </c>
    </row>
    <row r="10" spans="1:10" x14ac:dyDescent="0.25">
      <c r="A10" t="s">
        <v>31</v>
      </c>
      <c r="B10">
        <v>1950</v>
      </c>
      <c r="C10">
        <v>1982</v>
      </c>
      <c r="D10">
        <f t="shared" si="0"/>
        <v>1966</v>
      </c>
      <c r="E10">
        <v>9</v>
      </c>
      <c r="F10">
        <v>7</v>
      </c>
      <c r="G10">
        <v>16</v>
      </c>
      <c r="H10">
        <f t="shared" si="1"/>
        <v>10.08</v>
      </c>
      <c r="I10">
        <f>(G$31/C$31)*H10</f>
        <v>7.7385173493797668</v>
      </c>
    </row>
    <row r="11" spans="1:10" x14ac:dyDescent="0.25">
      <c r="A11" t="s">
        <v>29</v>
      </c>
      <c r="B11">
        <v>1960</v>
      </c>
      <c r="C11">
        <v>1990</v>
      </c>
      <c r="D11">
        <f t="shared" si="0"/>
        <v>1975</v>
      </c>
      <c r="E11">
        <f>dist_calculations!D$6</f>
        <v>38</v>
      </c>
      <c r="F11">
        <v>14</v>
      </c>
      <c r="G11">
        <v>16</v>
      </c>
      <c r="H11">
        <f t="shared" si="1"/>
        <v>85.12</v>
      </c>
      <c r="I11">
        <f>(G$32/C$32)*H11</f>
        <v>101.95551190220539</v>
      </c>
    </row>
    <row r="12" spans="1:10" x14ac:dyDescent="0.25">
      <c r="A12" t="s">
        <v>154</v>
      </c>
      <c r="B12">
        <v>1990</v>
      </c>
      <c r="C12">
        <v>2010</v>
      </c>
      <c r="D12">
        <f t="shared" si="0"/>
        <v>2000</v>
      </c>
      <c r="E12">
        <f>dist_calculations!D$10</f>
        <v>15</v>
      </c>
      <c r="F12">
        <f>42/3</f>
        <v>14</v>
      </c>
      <c r="G12">
        <v>16</v>
      </c>
      <c r="H12">
        <f t="shared" si="1"/>
        <v>33.6</v>
      </c>
      <c r="I12">
        <f>(G$35/C$35)*H12</f>
        <v>35.245280458418627</v>
      </c>
    </row>
    <row r="13" spans="1:10" x14ac:dyDescent="0.25">
      <c r="A13" t="s">
        <v>30</v>
      </c>
      <c r="B13">
        <v>1985</v>
      </c>
      <c r="C13">
        <v>2010</v>
      </c>
      <c r="D13">
        <f xml:space="preserve"> (B13+C13)/2</f>
        <v>1997.5</v>
      </c>
      <c r="E13">
        <f>dist_calculations!D$11</f>
        <v>10</v>
      </c>
      <c r="F13">
        <v>42</v>
      </c>
      <c r="G13">
        <v>16</v>
      </c>
      <c r="H13">
        <f xml:space="preserve"> E13*F13*G13/100</f>
        <v>67.2</v>
      </c>
      <c r="I13">
        <f>(G$35/C$35)*H13</f>
        <v>70.490560916837254</v>
      </c>
    </row>
    <row r="15" spans="1:10" x14ac:dyDescent="0.25">
      <c r="B15" s="1" t="s">
        <v>28</v>
      </c>
    </row>
    <row r="16" spans="1:10" x14ac:dyDescent="0.25">
      <c r="A16" s="1"/>
      <c r="B16" s="1" t="s">
        <v>0</v>
      </c>
      <c r="C16" s="1" t="s">
        <v>37</v>
      </c>
      <c r="D16" s="1" t="s">
        <v>38</v>
      </c>
      <c r="E16" s="1" t="s">
        <v>39</v>
      </c>
      <c r="F16" s="1" t="s">
        <v>40</v>
      </c>
      <c r="G16" s="1" t="s">
        <v>41</v>
      </c>
      <c r="H16" s="1" t="s">
        <v>106</v>
      </c>
    </row>
    <row r="17" spans="2:8" x14ac:dyDescent="0.25">
      <c r="B17">
        <v>1750</v>
      </c>
      <c r="C17">
        <f>H2</f>
        <v>48</v>
      </c>
      <c r="H17">
        <f>I2</f>
        <v>72</v>
      </c>
    </row>
    <row r="18" spans="2:8" x14ac:dyDescent="0.25">
      <c r="B18" s="1">
        <v>1800</v>
      </c>
      <c r="C18">
        <f>H2</f>
        <v>48</v>
      </c>
      <c r="D18">
        <f>sources_consumption!D2</f>
        <v>28000</v>
      </c>
      <c r="F18">
        <f>(D18/E$23)*F$23</f>
        <v>61.046511627906987</v>
      </c>
      <c r="G18">
        <f>(F18/F$23)*C$22</f>
        <v>71.79069767441861</v>
      </c>
      <c r="H18">
        <f>I2</f>
        <v>72</v>
      </c>
    </row>
    <row r="19" spans="2:8" x14ac:dyDescent="0.25">
      <c r="B19">
        <v>1820</v>
      </c>
      <c r="C19">
        <f>H2+H3</f>
        <v>72</v>
      </c>
      <c r="E19">
        <f>_xlfn.FORECAST.LINEAR(B19,D$17:D$22,B$17:B$22)</f>
        <v>31800</v>
      </c>
      <c r="F19">
        <f>(E19/E$23)*F$23</f>
        <v>69.331395348837219</v>
      </c>
      <c r="G19">
        <f>(F19/F$23)*C$22</f>
        <v>81.533720930232562</v>
      </c>
      <c r="H19">
        <f>I2+I3</f>
        <v>87</v>
      </c>
    </row>
    <row r="20" spans="2:8" x14ac:dyDescent="0.25">
      <c r="B20" s="1">
        <v>1830</v>
      </c>
      <c r="C20">
        <f>H2+H3</f>
        <v>72</v>
      </c>
      <c r="E20">
        <f>_xlfn.FORECAST.LINEAR(B20,D$17:D$22,B$17:B$22)</f>
        <v>33700</v>
      </c>
      <c r="F20">
        <f>(E20/E$23)*F$23</f>
        <v>73.473837209302346</v>
      </c>
      <c r="G20">
        <f>(F20/F$23)*C$22</f>
        <v>86.405232558139559</v>
      </c>
      <c r="H20">
        <f>I2+I3</f>
        <v>87</v>
      </c>
    </row>
    <row r="21" spans="2:8" x14ac:dyDescent="0.25">
      <c r="B21">
        <v>1840</v>
      </c>
      <c r="C21">
        <f>H4+H5</f>
        <v>117.6</v>
      </c>
      <c r="E21">
        <f>_xlfn.FORECAST.LINEAR(B21,D$17:D$22,B$17:B$22)</f>
        <v>35600</v>
      </c>
      <c r="F21">
        <f>(E21/E$23)*F$23</f>
        <v>77.616279069767458</v>
      </c>
      <c r="G21">
        <f>(F21/F$23)*C$22</f>
        <v>91.276744186046528</v>
      </c>
      <c r="H21">
        <f>I4+I5</f>
        <v>110</v>
      </c>
    </row>
    <row r="22" spans="2:8" x14ac:dyDescent="0.25">
      <c r="B22" s="1">
        <v>1880</v>
      </c>
      <c r="C22">
        <f>H4+H5</f>
        <v>117.6</v>
      </c>
      <c r="D22">
        <f>sources_consumption!D7</f>
        <v>43200</v>
      </c>
      <c r="F22">
        <f>(D22/E$23)*F$23</f>
        <v>94.186046511627936</v>
      </c>
      <c r="G22">
        <f>(F22/F$23)*C22</f>
        <v>110.76279069767445</v>
      </c>
      <c r="H22">
        <f>I4+I5</f>
        <v>110</v>
      </c>
    </row>
    <row r="23" spans="2:8" x14ac:dyDescent="0.25">
      <c r="B23">
        <v>1900</v>
      </c>
      <c r="C23">
        <f>H4+H5</f>
        <v>117.6</v>
      </c>
      <c r="E23">
        <f>_xlfn.FORECAST.LINEAR(B23,D$22:D$24,B$22:B$24)</f>
        <v>45866.666666666657</v>
      </c>
      <c r="F23">
        <v>100</v>
      </c>
      <c r="G23">
        <f>(F23/F$23)*C$22</f>
        <v>117.6</v>
      </c>
      <c r="H23">
        <f>I4+I5</f>
        <v>110</v>
      </c>
    </row>
    <row r="24" spans="2:8" x14ac:dyDescent="0.25">
      <c r="B24">
        <v>1910</v>
      </c>
      <c r="C24">
        <f>H6+H7</f>
        <v>93.8</v>
      </c>
      <c r="D24">
        <f>sources_consumption!D11</f>
        <v>47200</v>
      </c>
      <c r="F24">
        <f>(D24/E$23)*F$23</f>
        <v>102.90697674418607</v>
      </c>
      <c r="G24">
        <f>(F24/F$23)*C$22</f>
        <v>121.01860465116282</v>
      </c>
      <c r="H24">
        <f>I6+I7</f>
        <v>128.82474418604653</v>
      </c>
    </row>
    <row r="25" spans="2:8" x14ac:dyDescent="0.25">
      <c r="B25" s="1">
        <v>1928</v>
      </c>
      <c r="C25">
        <f>H6+H7</f>
        <v>93.8</v>
      </c>
      <c r="E25">
        <f>_xlfn.FORECAST.LINEAR(B25,D$24:D$26,B$24:B$26)</f>
        <v>50244.57142857142</v>
      </c>
      <c r="F25">
        <f>(E25/E$23)*F$23</f>
        <v>109.54485049833889</v>
      </c>
      <c r="G25">
        <f>(F25/F$23)*C$22</f>
        <v>128.82474418604653</v>
      </c>
      <c r="H25">
        <f>I6+I7</f>
        <v>128.82474418604653</v>
      </c>
    </row>
    <row r="26" spans="2:8" x14ac:dyDescent="0.25">
      <c r="B26">
        <v>1935</v>
      </c>
      <c r="C26">
        <f>H6+H7</f>
        <v>93.8</v>
      </c>
      <c r="D26">
        <f>sources_consumption!D17</f>
        <v>51428.571428571435</v>
      </c>
      <c r="F26">
        <f>(D26/E$23)*F$23</f>
        <v>112.12624584717612</v>
      </c>
      <c r="G26">
        <f>(F26/F$23)*C$23</f>
        <v>131.8604651162791</v>
      </c>
      <c r="H26">
        <f>I6+I7</f>
        <v>128.82474418604653</v>
      </c>
    </row>
    <row r="27" spans="2:8" x14ac:dyDescent="0.25">
      <c r="B27">
        <v>1945</v>
      </c>
      <c r="C27">
        <f>H8+H9</f>
        <v>55.68</v>
      </c>
      <c r="E27">
        <f>_xlfn.FORECAST.LINEAR(B27,D$26:D$31,B$26:B$31)</f>
        <v>49642.448979591834</v>
      </c>
      <c r="F27">
        <f>(E27/E$23)*F$23</f>
        <v>108.23208353108686</v>
      </c>
      <c r="G27">
        <f t="shared" ref="G27:G35" si="2">(F27/F$23)*C$22</f>
        <v>127.28093023255815</v>
      </c>
      <c r="H27">
        <f>I8+I9</f>
        <v>101.95437107452055</v>
      </c>
    </row>
    <row r="28" spans="2:8" x14ac:dyDescent="0.25">
      <c r="B28">
        <v>1950</v>
      </c>
      <c r="C28">
        <f>H8+H9+H10</f>
        <v>65.760000000000005</v>
      </c>
      <c r="E28">
        <f>_xlfn.FORECAST.LINEAR(B28,D$26:D$31,B$26:B$31)</f>
        <v>48749.387755102071</v>
      </c>
      <c r="F28">
        <f>(E28/E$23)*F$23</f>
        <v>106.28500237304233</v>
      </c>
      <c r="G28">
        <f t="shared" si="2"/>
        <v>124.99116279069777</v>
      </c>
      <c r="H28">
        <f>I8+I9+I10</f>
        <v>109.69288842390031</v>
      </c>
    </row>
    <row r="29" spans="2:8" x14ac:dyDescent="0.25">
      <c r="B29" s="1">
        <v>1960</v>
      </c>
      <c r="C29">
        <f>H8+H9+H10</f>
        <v>65.760000000000005</v>
      </c>
      <c r="E29">
        <f>_xlfn.FORECAST.LINEAR(B29,D$26:D$31,B$26:B$31)</f>
        <v>46963.265306122485</v>
      </c>
      <c r="F29">
        <f>(E29/E$23)*F$23</f>
        <v>102.39084005695311</v>
      </c>
      <c r="G29">
        <f t="shared" si="2"/>
        <v>120.41162790697686</v>
      </c>
      <c r="H29">
        <f>I8+I9+I10</f>
        <v>109.69288842390031</v>
      </c>
    </row>
    <row r="30" spans="2:8" x14ac:dyDescent="0.25">
      <c r="B30" s="1">
        <v>1966</v>
      </c>
      <c r="C30">
        <f>H8+H9+H10+H11</f>
        <v>150.88</v>
      </c>
      <c r="E30">
        <f>_xlfn.FORECAST.LINEAR(B30,D$26:D$31,B$26:B$31)</f>
        <v>45891.591836734733</v>
      </c>
      <c r="F30">
        <f>(E30/E$23)*F$23</f>
        <v>100.05434266729958</v>
      </c>
      <c r="G30">
        <f t="shared" si="2"/>
        <v>117.6639069767443</v>
      </c>
      <c r="H30">
        <f>I8+I9+I10+I11</f>
        <v>211.6484003261057</v>
      </c>
    </row>
    <row r="31" spans="2:8" x14ac:dyDescent="0.25">
      <c r="B31">
        <v>1970</v>
      </c>
      <c r="C31">
        <f>H8+H9+H10+H11</f>
        <v>150.88</v>
      </c>
      <c r="D31">
        <f>sources_consumption!D23</f>
        <v>45177.14285714287</v>
      </c>
      <c r="F31">
        <f>(D31/E$23)*F$23</f>
        <v>98.496677740863831</v>
      </c>
      <c r="G31">
        <f t="shared" si="2"/>
        <v>115.83209302325587</v>
      </c>
      <c r="H31">
        <f>I8+I9+I10+I11</f>
        <v>211.6484003261057</v>
      </c>
    </row>
    <row r="32" spans="2:8" x14ac:dyDescent="0.25">
      <c r="B32" s="1">
        <v>1975</v>
      </c>
      <c r="C32">
        <f>H10+H11</f>
        <v>95.2</v>
      </c>
      <c r="E32">
        <f>_xlfn.FORECAST.LINEAR(B32,D$31:D$36,B$31:B$36)</f>
        <v>44473.970163809601</v>
      </c>
      <c r="F32">
        <f>(E32/E$23)*F$23</f>
        <v>96.963597740863975</v>
      </c>
      <c r="G32">
        <f t="shared" si="2"/>
        <v>114.02919094325603</v>
      </c>
      <c r="H32">
        <f>I8+I9+I10+I11</f>
        <v>211.6484003261057</v>
      </c>
    </row>
    <row r="33" spans="2:8" x14ac:dyDescent="0.25">
      <c r="B33">
        <v>1980</v>
      </c>
      <c r="C33">
        <f>H10+H11</f>
        <v>95.2</v>
      </c>
      <c r="E33">
        <f>_xlfn.FORECAST.LINEAR(B33,D$31:D$36,B$31:B$36)</f>
        <v>43770.797470476246</v>
      </c>
      <c r="F33">
        <f>(E33/E$23)*F$23</f>
        <v>95.430517740863934</v>
      </c>
      <c r="G33">
        <f t="shared" si="2"/>
        <v>112.22628886325597</v>
      </c>
      <c r="H33">
        <f>I10+I11</f>
        <v>109.69402925158515</v>
      </c>
    </row>
    <row r="34" spans="2:8" x14ac:dyDescent="0.25">
      <c r="B34">
        <v>1982</v>
      </c>
      <c r="C34">
        <f>H11</f>
        <v>85.12</v>
      </c>
      <c r="E34">
        <f>_xlfn.FORECAST.LINEAR(B34,D$31:D$36,B$31:B$36)</f>
        <v>43489.528393142915</v>
      </c>
      <c r="F34">
        <f>(E34/E$23)*F$23</f>
        <v>94.817285740863937</v>
      </c>
      <c r="G34">
        <f t="shared" si="2"/>
        <v>111.50512803125598</v>
      </c>
      <c r="H34">
        <f>I11+I13</f>
        <v>172.44607281904263</v>
      </c>
    </row>
    <row r="35" spans="2:8" x14ac:dyDescent="0.25">
      <c r="B35" s="1">
        <v>1998</v>
      </c>
      <c r="C35">
        <f>H12+H13</f>
        <v>100.80000000000001</v>
      </c>
      <c r="E35">
        <f>_xlfn.FORECAST.LINEAR(B35,D$31:D$36,B$31:B$36)</f>
        <v>41239.375774476212</v>
      </c>
      <c r="F35">
        <f>(E35/E$23)*F$23</f>
        <v>89.911429740863852</v>
      </c>
      <c r="G35">
        <f t="shared" si="2"/>
        <v>105.73584137525589</v>
      </c>
      <c r="H35">
        <f>I12+I13</f>
        <v>105.73584137525589</v>
      </c>
    </row>
    <row r="36" spans="2:8" x14ac:dyDescent="0.25">
      <c r="B36" s="10">
        <v>2000</v>
      </c>
      <c r="C36">
        <f>H12+H13</f>
        <v>100.80000000000001</v>
      </c>
      <c r="D36">
        <f>sources_consumption!D29</f>
        <v>40958.106697142859</v>
      </c>
      <c r="F36">
        <f>(D36/E$23)*F$23</f>
        <v>89.298197740863799</v>
      </c>
      <c r="G36">
        <f>(F36/F$23)*C$22</f>
        <v>105.01468054325582</v>
      </c>
      <c r="H36">
        <f>I11+I13</f>
        <v>172.44607281904263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9CC1-8545-4DEA-B454-5C9D10DEA9DB}">
  <dimension ref="A1:I30"/>
  <sheetViews>
    <sheetView workbookViewId="0">
      <selection activeCell="E6" sqref="E6"/>
    </sheetView>
  </sheetViews>
  <sheetFormatPr defaultRowHeight="15" x14ac:dyDescent="0.25"/>
  <cols>
    <col min="1" max="1" width="22.42578125" customWidth="1"/>
    <col min="3" max="3" width="16.42578125" customWidth="1"/>
    <col min="4" max="4" width="18.85546875" customWidth="1"/>
    <col min="5" max="5" width="20.28515625" customWidth="1"/>
    <col min="6" max="6" width="17.85546875" customWidth="1"/>
    <col min="7" max="7" width="18.7109375" customWidth="1"/>
    <col min="8" max="8" width="16.140625" customWidth="1"/>
  </cols>
  <sheetData>
    <row r="1" spans="1:9" x14ac:dyDescent="0.25">
      <c r="A1" s="1" t="s">
        <v>12</v>
      </c>
      <c r="B1" s="1" t="s">
        <v>13</v>
      </c>
      <c r="C1" s="1" t="s">
        <v>14</v>
      </c>
      <c r="D1" s="1" t="s">
        <v>15</v>
      </c>
      <c r="E1" s="1" t="s">
        <v>17</v>
      </c>
      <c r="F1" s="1" t="s">
        <v>18</v>
      </c>
      <c r="G1" s="1" t="s">
        <v>19</v>
      </c>
      <c r="H1" s="1" t="s">
        <v>20</v>
      </c>
      <c r="I1" s="1" t="s">
        <v>110</v>
      </c>
    </row>
    <row r="2" spans="1:9" x14ac:dyDescent="0.25">
      <c r="A2" t="s">
        <v>78</v>
      </c>
      <c r="B2">
        <v>1750</v>
      </c>
      <c r="C2">
        <v>1840</v>
      </c>
      <c r="D2">
        <f xml:space="preserve"> (B2+C2)/2</f>
        <v>1795</v>
      </c>
      <c r="E2">
        <v>42</v>
      </c>
      <c r="F2">
        <v>5</v>
      </c>
      <c r="G2">
        <v>100</v>
      </c>
      <c r="H2">
        <f xml:space="preserve"> E2*F2*G2/100</f>
        <v>210</v>
      </c>
      <c r="I2">
        <f>(G13/C13)*H2</f>
        <v>72.413789099887637</v>
      </c>
    </row>
    <row r="3" spans="1:9" x14ac:dyDescent="0.25">
      <c r="A3" t="s">
        <v>79</v>
      </c>
      <c r="B3">
        <v>1841</v>
      </c>
      <c r="C3">
        <v>1910</v>
      </c>
      <c r="D3">
        <f t="shared" ref="D3:D5" si="0" xml:space="preserve"> (B3+C3)/2</f>
        <v>1875.5</v>
      </c>
      <c r="E3">
        <v>21</v>
      </c>
      <c r="F3">
        <v>10</v>
      </c>
      <c r="G3">
        <v>100</v>
      </c>
      <c r="H3">
        <f t="shared" ref="H3:H5" si="1" xml:space="preserve"> E3*F3*G3/100</f>
        <v>210</v>
      </c>
      <c r="I3">
        <f>(G17/C17)*H3</f>
        <v>131.55172210360132</v>
      </c>
    </row>
    <row r="4" spans="1:9" x14ac:dyDescent="0.25">
      <c r="A4" t="s">
        <v>80</v>
      </c>
      <c r="B4">
        <v>1911</v>
      </c>
      <c r="C4">
        <v>1945</v>
      </c>
      <c r="D4">
        <f t="shared" si="0"/>
        <v>1928</v>
      </c>
      <c r="E4">
        <v>15</v>
      </c>
      <c r="F4">
        <v>15</v>
      </c>
      <c r="G4">
        <v>100</v>
      </c>
      <c r="H4">
        <f t="shared" si="1"/>
        <v>225</v>
      </c>
      <c r="I4">
        <f>(G20/C20)*H4</f>
        <v>231.44827664232162</v>
      </c>
    </row>
    <row r="5" spans="1:9" x14ac:dyDescent="0.25">
      <c r="A5" t="s">
        <v>31</v>
      </c>
      <c r="B5">
        <v>1950</v>
      </c>
      <c r="C5">
        <v>1975</v>
      </c>
      <c r="D5">
        <f t="shared" si="0"/>
        <v>1962.5</v>
      </c>
      <c r="E5">
        <f>dist_calculations!D4</f>
        <v>8</v>
      </c>
      <c r="F5">
        <v>7</v>
      </c>
      <c r="G5">
        <v>14</v>
      </c>
      <c r="H5">
        <f t="shared" si="1"/>
        <v>7.84</v>
      </c>
      <c r="I5">
        <f>(G24/C24)*H5</f>
        <v>30.693877654494855</v>
      </c>
    </row>
    <row r="6" spans="1:9" x14ac:dyDescent="0.25">
      <c r="A6" t="s">
        <v>29</v>
      </c>
      <c r="B6">
        <v>1960</v>
      </c>
      <c r="C6">
        <v>1990</v>
      </c>
      <c r="D6">
        <f xml:space="preserve"> (B6+C6)/2</f>
        <v>1975</v>
      </c>
      <c r="E6">
        <f>dist_calculations!D$6</f>
        <v>38</v>
      </c>
      <c r="F6">
        <v>14</v>
      </c>
      <c r="G6">
        <v>14</v>
      </c>
      <c r="H6">
        <f xml:space="preserve"> E6*F6*G6/100</f>
        <v>74.48</v>
      </c>
      <c r="I6">
        <f>(G26/C26)*H6</f>
        <v>323.07099918327651</v>
      </c>
    </row>
    <row r="7" spans="1:9" x14ac:dyDescent="0.25">
      <c r="A7" t="s">
        <v>159</v>
      </c>
      <c r="B7">
        <v>1975</v>
      </c>
      <c r="C7">
        <v>2010</v>
      </c>
      <c r="D7">
        <f xml:space="preserve"> (B7+C7)/2</f>
        <v>1992.5</v>
      </c>
      <c r="E7">
        <v>2</v>
      </c>
      <c r="F7">
        <v>8</v>
      </c>
      <c r="G7">
        <v>18</v>
      </c>
      <c r="H7">
        <f xml:space="preserve"> E7*F7*G7/100</f>
        <v>2.88</v>
      </c>
      <c r="I7">
        <f>(G28/C28)*H7</f>
        <v>4.5832475568448974</v>
      </c>
    </row>
    <row r="8" spans="1:9" x14ac:dyDescent="0.25">
      <c r="A8" t="s">
        <v>154</v>
      </c>
      <c r="B8">
        <v>1990</v>
      </c>
      <c r="C8">
        <v>2010</v>
      </c>
      <c r="D8">
        <f t="shared" ref="D8" si="2" xml:space="preserve"> (B8+C8)/2</f>
        <v>2000</v>
      </c>
      <c r="E8">
        <f>dist_calculations!D10</f>
        <v>15</v>
      </c>
      <c r="F8">
        <f>42/3</f>
        <v>14</v>
      </c>
      <c r="G8">
        <v>28</v>
      </c>
      <c r="H8">
        <f xml:space="preserve"> E8*F8*G8/100</f>
        <v>58.8</v>
      </c>
      <c r="I8">
        <f>(G30/C30)*H8</f>
        <v>87.219033064690933</v>
      </c>
    </row>
    <row r="9" spans="1:9" x14ac:dyDescent="0.25">
      <c r="A9" t="s">
        <v>30</v>
      </c>
      <c r="B9">
        <v>1985</v>
      </c>
      <c r="C9">
        <v>2010</v>
      </c>
      <c r="D9">
        <f xml:space="preserve"> (B9+C9)/2</f>
        <v>1997.5</v>
      </c>
      <c r="E9">
        <f>dist_calculations!D11</f>
        <v>10</v>
      </c>
      <c r="F9">
        <v>42</v>
      </c>
      <c r="G9">
        <v>28</v>
      </c>
      <c r="H9">
        <f xml:space="preserve"> E9*F9*G9/100</f>
        <v>117.6</v>
      </c>
      <c r="I9">
        <f>(G29/C29)*H9</f>
        <v>178.37974299930198</v>
      </c>
    </row>
    <row r="10" spans="1:9" x14ac:dyDescent="0.25">
      <c r="B10" s="1" t="s">
        <v>28</v>
      </c>
    </row>
    <row r="11" spans="1:9" x14ac:dyDescent="0.25">
      <c r="B11" s="1" t="s">
        <v>0</v>
      </c>
      <c r="C11" s="1" t="s">
        <v>119</v>
      </c>
      <c r="D11" s="1" t="s">
        <v>38</v>
      </c>
      <c r="E11" s="1" t="s">
        <v>39</v>
      </c>
      <c r="F11" s="1" t="s">
        <v>40</v>
      </c>
      <c r="G11" s="1" t="s">
        <v>41</v>
      </c>
      <c r="H11" s="1" t="s">
        <v>111</v>
      </c>
    </row>
    <row r="12" spans="1:9" x14ac:dyDescent="0.25">
      <c r="B12">
        <v>1750</v>
      </c>
      <c r="C12">
        <f>H2</f>
        <v>210</v>
      </c>
      <c r="H12">
        <f>I2</f>
        <v>72.413789099887637</v>
      </c>
    </row>
    <row r="13" spans="1:9" x14ac:dyDescent="0.25">
      <c r="B13" s="1">
        <v>1800</v>
      </c>
      <c r="C13">
        <f>H2</f>
        <v>210</v>
      </c>
      <c r="D13">
        <f>sources_consumption!D5</f>
        <v>681.91376000000002</v>
      </c>
      <c r="F13">
        <f>(D13/E$18)*F$18</f>
        <v>34.48275671423221</v>
      </c>
      <c r="G13">
        <f>(F13/F$18)*C$18</f>
        <v>72.413789099887637</v>
      </c>
      <c r="H13">
        <f>I2</f>
        <v>72.413789099887637</v>
      </c>
    </row>
    <row r="14" spans="1:9" x14ac:dyDescent="0.25">
      <c r="B14">
        <v>1820</v>
      </c>
      <c r="C14">
        <f>H2</f>
        <v>210</v>
      </c>
      <c r="E14">
        <f>_xlfn.FORECAST.LINEAR(B14,D$13:D$16,B$13:B$16)</f>
        <v>609.17628800000057</v>
      </c>
      <c r="F14">
        <f>(E14/E$18)*F$18</f>
        <v>30.804595782292289</v>
      </c>
      <c r="G14">
        <f>(F14/F$18)*C$18</f>
        <v>64.689651142813801</v>
      </c>
      <c r="H14">
        <f>I2</f>
        <v>72.413789099887637</v>
      </c>
    </row>
    <row r="15" spans="1:9" x14ac:dyDescent="0.25">
      <c r="B15">
        <v>1841</v>
      </c>
      <c r="C15">
        <f>H3</f>
        <v>210</v>
      </c>
      <c r="E15">
        <f>_xlfn.FORECAST.LINEAR(B15,D$13:D$16,B$13:B$16)</f>
        <v>532.80194240000037</v>
      </c>
      <c r="F15">
        <f>(E15/E$18)*F$18</f>
        <v>26.942526803755324</v>
      </c>
      <c r="G15">
        <f>(F15/F$18)*C$18</f>
        <v>56.579306287886176</v>
      </c>
      <c r="H15">
        <f>I3</f>
        <v>131.55172210360132</v>
      </c>
    </row>
    <row r="16" spans="1:9" x14ac:dyDescent="0.25">
      <c r="B16">
        <v>1850</v>
      </c>
      <c r="D16">
        <f>sources_consumption!D6</f>
        <v>500.07007999999996</v>
      </c>
      <c r="F16">
        <f>(D16/E$18)*F$18</f>
        <v>25.287354384382326</v>
      </c>
      <c r="G16">
        <f>(F16/F$18)*C$18</f>
        <v>53.103444207202884</v>
      </c>
      <c r="H16">
        <f>I3</f>
        <v>131.55172210360132</v>
      </c>
    </row>
    <row r="17" spans="2:8" x14ac:dyDescent="0.25">
      <c r="B17" s="1">
        <v>1875</v>
      </c>
      <c r="C17">
        <f>H3</f>
        <v>210</v>
      </c>
      <c r="E17">
        <f>_xlfn.FORECAST.LINEAR(B17,D$16:D$19,B$16:B$19)</f>
        <v>1238.8100466666656</v>
      </c>
      <c r="F17">
        <f>(E17/E$18)*F$18</f>
        <v>62.643677192191106</v>
      </c>
      <c r="G17">
        <f>(F17/F$18)*C$18</f>
        <v>131.55172210360132</v>
      </c>
      <c r="H17">
        <f>I3</f>
        <v>131.55172210360132</v>
      </c>
    </row>
    <row r="18" spans="2:8" x14ac:dyDescent="0.25">
      <c r="B18">
        <v>1900</v>
      </c>
      <c r="C18">
        <f>H3</f>
        <v>210</v>
      </c>
      <c r="E18">
        <f>_xlfn.FORECAST.LINEAR(B18,D$16:D$19,B$16:B$19)</f>
        <v>1977.5500133333335</v>
      </c>
      <c r="F18">
        <v>100</v>
      </c>
      <c r="G18">
        <f>(F18/F$18)*C$18</f>
        <v>210</v>
      </c>
      <c r="H18">
        <f>I3</f>
        <v>131.55172210360132</v>
      </c>
    </row>
    <row r="19" spans="2:8" x14ac:dyDescent="0.25">
      <c r="B19">
        <v>1910</v>
      </c>
      <c r="C19">
        <f>H4</f>
        <v>225</v>
      </c>
      <c r="D19">
        <f>sources_consumption!D16</f>
        <v>2273.0459999999998</v>
      </c>
      <c r="F19">
        <f>(D19/E$18)*F$18</f>
        <v>114.94252912312352</v>
      </c>
      <c r="G19">
        <f>(F19/F$18)*C$18</f>
        <v>241.3793111585594</v>
      </c>
      <c r="H19">
        <f>I4</f>
        <v>231.44827664232162</v>
      </c>
    </row>
    <row r="20" spans="2:8" x14ac:dyDescent="0.25">
      <c r="B20" s="1">
        <v>1928</v>
      </c>
      <c r="C20">
        <f>H4</f>
        <v>225</v>
      </c>
      <c r="E20">
        <f>_xlfn.FORECAST.LINEAR(B20,D$19:D$21,B$19:B$21)</f>
        <v>2179.5263931428581</v>
      </c>
      <c r="F20">
        <f>(E20/E$18)*F$18</f>
        <v>110.2134650677722</v>
      </c>
      <c r="G20">
        <f>(F20/F$18)*C$18</f>
        <v>231.44827664232164</v>
      </c>
      <c r="H20">
        <f>I4</f>
        <v>231.44827664232162</v>
      </c>
    </row>
    <row r="21" spans="2:8" x14ac:dyDescent="0.25">
      <c r="B21">
        <v>1935</v>
      </c>
      <c r="C21">
        <f>H4</f>
        <v>225</v>
      </c>
      <c r="D21">
        <f>sources_consumption!D22</f>
        <v>2143.1576571428573</v>
      </c>
      <c r="F21">
        <f>(D21/E$18)*F$18</f>
        <v>108.37438460180218</v>
      </c>
      <c r="G21">
        <f>(F21/F$18)*C$18</f>
        <v>227.58620766378456</v>
      </c>
      <c r="H21">
        <f>I4</f>
        <v>231.44827664232162</v>
      </c>
    </row>
    <row r="22" spans="2:8" x14ac:dyDescent="0.25">
      <c r="B22">
        <v>1945</v>
      </c>
      <c r="C22">
        <f>H4</f>
        <v>225</v>
      </c>
      <c r="E22">
        <f>_xlfn.FORECAST.LINEAR(B22,D$21:D$25,B$21:B$25)</f>
        <v>2473.4451575510175</v>
      </c>
      <c r="F22">
        <f>(E22/E$18)*F$18</f>
        <v>125.07623781316201</v>
      </c>
      <c r="G22">
        <f>(F22/F$18)*C$18</f>
        <v>262.66009940764025</v>
      </c>
      <c r="H22">
        <f>I4</f>
        <v>231.44827664232162</v>
      </c>
    </row>
    <row r="23" spans="2:8" x14ac:dyDescent="0.25">
      <c r="B23">
        <v>1960</v>
      </c>
      <c r="C23">
        <f>H6+H5</f>
        <v>82.320000000000007</v>
      </c>
      <c r="E23">
        <f>_xlfn.FORECAST.LINEAR(B23,D$21:D$25,B$21:B$25)</f>
        <v>2968.8764081632617</v>
      </c>
      <c r="F23">
        <f>(E23/E$18)*F$18</f>
        <v>150.12901763020196</v>
      </c>
      <c r="G23">
        <f>(F23/F$18)*C$18</f>
        <v>315.27093702342415</v>
      </c>
      <c r="H23">
        <f>I5+I6</f>
        <v>353.76487683777134</v>
      </c>
    </row>
    <row r="24" spans="2:8" x14ac:dyDescent="0.25">
      <c r="B24" s="1">
        <v>1962</v>
      </c>
      <c r="C24">
        <f>H6+H5</f>
        <v>82.320000000000007</v>
      </c>
      <c r="E24">
        <f>_xlfn.FORECAST.LINEAR(B24,D$21:D$25,B$21:B$25)</f>
        <v>3034.9339082449005</v>
      </c>
      <c r="F24">
        <f>(E24/E$18)*F$18</f>
        <v>153.4693882724743</v>
      </c>
      <c r="G24">
        <f>(F24/F$18)*C$18</f>
        <v>322.28571537219602</v>
      </c>
      <c r="H24">
        <f>I5+I6</f>
        <v>353.76487683777134</v>
      </c>
    </row>
    <row r="25" spans="2:8" x14ac:dyDescent="0.25">
      <c r="B25">
        <v>1970</v>
      </c>
      <c r="C25">
        <f>H6</f>
        <v>74.48</v>
      </c>
      <c r="D25">
        <f>sources_consumption!D28</f>
        <v>3299.1639085714291</v>
      </c>
      <c r="F25">
        <f>(D25/E$18)*F$18</f>
        <v>166.83087084156219</v>
      </c>
      <c r="G25">
        <f>(F25/F$18)*C$18</f>
        <v>350.3448287672806</v>
      </c>
      <c r="H25">
        <f>I5+I6</f>
        <v>353.76487683777134</v>
      </c>
    </row>
    <row r="26" spans="2:8" x14ac:dyDescent="0.25">
      <c r="B26" s="1">
        <v>1975</v>
      </c>
      <c r="C26">
        <f>H6+H7</f>
        <v>77.36</v>
      </c>
      <c r="E26">
        <f>_xlfn.FORECAST.LINEAR(B26,D$25:D$30,B$25:B$30)</f>
        <v>3159.96992380952</v>
      </c>
      <c r="F26">
        <f>(E26/E$18)*F$18</f>
        <v>159.79216214527563</v>
      </c>
      <c r="G26">
        <f>(F26/F$18)*C$18</f>
        <v>335.56354050507883</v>
      </c>
      <c r="H26">
        <f>I6</f>
        <v>323.07099918327651</v>
      </c>
    </row>
    <row r="27" spans="2:8" x14ac:dyDescent="0.25">
      <c r="B27">
        <v>1985</v>
      </c>
      <c r="C27">
        <f>H6+H9</f>
        <v>192.07999999999998</v>
      </c>
      <c r="E27">
        <f>_xlfn.FORECAST.LINEAR(B27,D$25:D$30,B$25:B$30)</f>
        <v>2881.5819542857134</v>
      </c>
      <c r="F27">
        <f>(E27/E$18)*F$18</f>
        <v>145.71474475270313</v>
      </c>
      <c r="G27">
        <f>(F27/F$18)*C$18</f>
        <v>306.00096398067654</v>
      </c>
      <c r="H27">
        <f>I6+I9</f>
        <v>501.45074218257849</v>
      </c>
    </row>
    <row r="28" spans="2:8" x14ac:dyDescent="0.25">
      <c r="B28" s="1">
        <v>1992</v>
      </c>
      <c r="C28">
        <f>H7+H8+H9</f>
        <v>179.28</v>
      </c>
      <c r="E28">
        <f>_xlfn.FORECAST.LINEAR(B28,D$25:D$30,B$25:B$30)</f>
        <v>2686.7103756190481</v>
      </c>
      <c r="F28">
        <f>(E28/E$18)*F$18</f>
        <v>135.86055257790233</v>
      </c>
      <c r="G28">
        <f>(F28/F$18)*C$18</f>
        <v>285.30716041359489</v>
      </c>
      <c r="H28">
        <f>I7+I8+I9</f>
        <v>270.18202362083781</v>
      </c>
    </row>
    <row r="29" spans="2:8" x14ac:dyDescent="0.25">
      <c r="B29" s="1">
        <v>1998</v>
      </c>
      <c r="C29">
        <f>H8+H9</f>
        <v>176.39999999999998</v>
      </c>
      <c r="E29">
        <f>_xlfn.FORECAST.LINEAR(B29,D$25:D$30,B$25:B$30)</f>
        <v>2519.6775939047584</v>
      </c>
      <c r="F29">
        <f>(E29/E$18)*F$18</f>
        <v>127.41410214235853</v>
      </c>
      <c r="G29">
        <f>(F29/F$18)*C$18</f>
        <v>267.56961449895294</v>
      </c>
      <c r="H29">
        <f>I8+I9</f>
        <v>265.59877606399289</v>
      </c>
    </row>
    <row r="30" spans="2:8" x14ac:dyDescent="0.25">
      <c r="B30" s="1">
        <v>2000</v>
      </c>
      <c r="C30">
        <f>H8+H9</f>
        <v>176.39999999999998</v>
      </c>
      <c r="D30">
        <f>sources_consumption!D34</f>
        <v>2464</v>
      </c>
      <c r="F30">
        <f>(D30/E$18)*F$18</f>
        <v>124.59861866384418</v>
      </c>
      <c r="G30">
        <f>(F30/F$18)*C$18</f>
        <v>261.65709919407277</v>
      </c>
      <c r="H30">
        <f>I8+I9</f>
        <v>265.59877606399289</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E41EE-A77B-4862-8A6B-F95E97843B66}">
  <dimension ref="A1:H39"/>
  <sheetViews>
    <sheetView workbookViewId="0">
      <selection activeCell="E11" sqref="E11"/>
    </sheetView>
  </sheetViews>
  <sheetFormatPr defaultRowHeight="15" x14ac:dyDescent="0.25"/>
  <cols>
    <col min="1" max="1" width="16.7109375" customWidth="1"/>
    <col min="2" max="2" width="9.7109375" customWidth="1"/>
    <col min="3" max="3" width="24.7109375" customWidth="1"/>
    <col min="4" max="4" width="19.140625" customWidth="1"/>
    <col min="5" max="5" width="21.42578125" customWidth="1"/>
    <col min="6" max="6" width="17.85546875" customWidth="1"/>
    <col min="7" max="7" width="18.140625" customWidth="1"/>
    <col min="8" max="8" width="16.5703125" customWidth="1"/>
  </cols>
  <sheetData>
    <row r="1" spans="1:8" x14ac:dyDescent="0.25">
      <c r="A1" s="1" t="s">
        <v>12</v>
      </c>
      <c r="B1" s="1" t="s">
        <v>13</v>
      </c>
      <c r="C1" s="1" t="s">
        <v>14</v>
      </c>
      <c r="D1" s="1" t="s">
        <v>15</v>
      </c>
      <c r="E1" s="1" t="s">
        <v>17</v>
      </c>
      <c r="F1" s="1" t="s">
        <v>18</v>
      </c>
      <c r="G1" s="1" t="s">
        <v>19</v>
      </c>
      <c r="H1" s="1" t="s">
        <v>20</v>
      </c>
    </row>
    <row r="2" spans="1:8" x14ac:dyDescent="0.25">
      <c r="A2" t="s">
        <v>16</v>
      </c>
      <c r="B2">
        <v>1750</v>
      </c>
      <c r="C2">
        <v>1840</v>
      </c>
      <c r="D2">
        <f xml:space="preserve"> (B2+C2)/2</f>
        <v>1795</v>
      </c>
      <c r="E2">
        <v>75</v>
      </c>
      <c r="F2">
        <v>4</v>
      </c>
      <c r="G2">
        <v>5</v>
      </c>
      <c r="H2">
        <f xml:space="preserve"> E2*F2*G2/100</f>
        <v>15</v>
      </c>
    </row>
    <row r="3" spans="1:8" x14ac:dyDescent="0.25">
      <c r="A3" t="s">
        <v>49</v>
      </c>
      <c r="B3">
        <v>1818</v>
      </c>
      <c r="C3">
        <v>1840</v>
      </c>
      <c r="D3">
        <f t="shared" ref="D3:D13" si="0" xml:space="preserve"> (B3+C3)/2</f>
        <v>1829</v>
      </c>
      <c r="E3">
        <v>27</v>
      </c>
      <c r="F3">
        <v>2</v>
      </c>
      <c r="G3">
        <v>16</v>
      </c>
      <c r="H3">
        <f t="shared" ref="H3:H13" si="1" xml:space="preserve"> E3*F3*G3/100</f>
        <v>8.64</v>
      </c>
    </row>
    <row r="4" spans="1:8" x14ac:dyDescent="0.25">
      <c r="A4" t="s">
        <v>22</v>
      </c>
      <c r="B4">
        <v>1841</v>
      </c>
      <c r="C4">
        <v>1910</v>
      </c>
      <c r="D4">
        <f t="shared" si="0"/>
        <v>1875.5</v>
      </c>
      <c r="E4">
        <v>45</v>
      </c>
      <c r="F4">
        <v>8</v>
      </c>
      <c r="G4">
        <v>5</v>
      </c>
      <c r="H4">
        <f t="shared" si="1"/>
        <v>18</v>
      </c>
    </row>
    <row r="5" spans="1:8" x14ac:dyDescent="0.25">
      <c r="A5" t="s">
        <v>50</v>
      </c>
      <c r="B5">
        <v>1841</v>
      </c>
      <c r="C5">
        <v>1910</v>
      </c>
      <c r="D5">
        <f t="shared" si="0"/>
        <v>1875.5</v>
      </c>
      <c r="E5">
        <v>27</v>
      </c>
      <c r="F5">
        <v>5</v>
      </c>
      <c r="G5">
        <v>16</v>
      </c>
      <c r="H5">
        <f t="shared" si="1"/>
        <v>21.6</v>
      </c>
    </row>
    <row r="6" spans="1:8" x14ac:dyDescent="0.25">
      <c r="A6" t="s">
        <v>26</v>
      </c>
      <c r="B6">
        <v>1911</v>
      </c>
      <c r="C6">
        <v>1945</v>
      </c>
      <c r="D6">
        <f t="shared" si="0"/>
        <v>1928</v>
      </c>
      <c r="E6">
        <v>10</v>
      </c>
      <c r="F6">
        <v>8</v>
      </c>
      <c r="G6">
        <v>5</v>
      </c>
      <c r="H6">
        <f t="shared" si="1"/>
        <v>4</v>
      </c>
    </row>
    <row r="7" spans="1:8" x14ac:dyDescent="0.25">
      <c r="A7" t="s">
        <v>51</v>
      </c>
      <c r="B7">
        <v>1911</v>
      </c>
      <c r="C7">
        <v>1945</v>
      </c>
      <c r="D7">
        <f xml:space="preserve"> (B7+C7)/2</f>
        <v>1928</v>
      </c>
      <c r="E7">
        <v>21</v>
      </c>
      <c r="F7">
        <v>10</v>
      </c>
      <c r="G7">
        <v>16</v>
      </c>
      <c r="H7">
        <f t="shared" si="1"/>
        <v>33.6</v>
      </c>
    </row>
    <row r="8" spans="1:8" x14ac:dyDescent="0.25">
      <c r="A8" t="s">
        <v>27</v>
      </c>
      <c r="B8">
        <v>1946</v>
      </c>
      <c r="C8">
        <v>1975</v>
      </c>
      <c r="D8">
        <f t="shared" si="0"/>
        <v>1960.5</v>
      </c>
      <c r="E8">
        <v>4</v>
      </c>
      <c r="F8">
        <v>12</v>
      </c>
      <c r="G8">
        <v>5</v>
      </c>
      <c r="H8">
        <f t="shared" si="1"/>
        <v>2.4</v>
      </c>
    </row>
    <row r="9" spans="1:8" x14ac:dyDescent="0.25">
      <c r="A9" t="s">
        <v>52</v>
      </c>
      <c r="B9">
        <v>1946</v>
      </c>
      <c r="C9">
        <v>2010</v>
      </c>
      <c r="D9">
        <f t="shared" si="0"/>
        <v>1978</v>
      </c>
      <c r="E9">
        <v>12</v>
      </c>
      <c r="F9">
        <v>15</v>
      </c>
      <c r="G9">
        <v>12</v>
      </c>
      <c r="H9">
        <f t="shared" si="1"/>
        <v>21.6</v>
      </c>
    </row>
    <row r="10" spans="1:8" x14ac:dyDescent="0.25">
      <c r="A10" t="s">
        <v>31</v>
      </c>
      <c r="B10">
        <v>1950</v>
      </c>
      <c r="C10">
        <v>1982</v>
      </c>
      <c r="D10">
        <f t="shared" si="0"/>
        <v>1966</v>
      </c>
      <c r="E10">
        <v>9</v>
      </c>
      <c r="F10">
        <v>7</v>
      </c>
      <c r="G10">
        <v>5</v>
      </c>
      <c r="H10">
        <f t="shared" si="1"/>
        <v>3.15</v>
      </c>
    </row>
    <row r="11" spans="1:8" x14ac:dyDescent="0.25">
      <c r="A11" t="s">
        <v>29</v>
      </c>
      <c r="B11">
        <v>1960</v>
      </c>
      <c r="C11">
        <v>1990</v>
      </c>
      <c r="D11">
        <f t="shared" si="0"/>
        <v>1975</v>
      </c>
      <c r="E11">
        <f>dist_calculations!D$6</f>
        <v>38</v>
      </c>
      <c r="F11">
        <v>14</v>
      </c>
      <c r="G11">
        <v>5</v>
      </c>
      <c r="H11">
        <f t="shared" si="1"/>
        <v>26.6</v>
      </c>
    </row>
    <row r="12" spans="1:8" x14ac:dyDescent="0.25">
      <c r="A12" t="s">
        <v>154</v>
      </c>
      <c r="B12">
        <v>1990</v>
      </c>
      <c r="C12">
        <v>2010</v>
      </c>
      <c r="D12">
        <f t="shared" si="0"/>
        <v>2000</v>
      </c>
      <c r="E12">
        <f>dist_calculations!D$10</f>
        <v>15</v>
      </c>
      <c r="F12">
        <f>42/3</f>
        <v>14</v>
      </c>
      <c r="G12">
        <v>5</v>
      </c>
      <c r="H12">
        <f t="shared" si="1"/>
        <v>10.5</v>
      </c>
    </row>
    <row r="13" spans="1:8" x14ac:dyDescent="0.25">
      <c r="A13" t="s">
        <v>30</v>
      </c>
      <c r="B13">
        <v>1985</v>
      </c>
      <c r="C13">
        <v>2010</v>
      </c>
      <c r="D13">
        <f t="shared" si="0"/>
        <v>1997.5</v>
      </c>
      <c r="E13">
        <f>dist_calculations!D$11</f>
        <v>10</v>
      </c>
      <c r="F13">
        <v>42</v>
      </c>
      <c r="G13">
        <v>5</v>
      </c>
      <c r="H13">
        <f t="shared" si="1"/>
        <v>21</v>
      </c>
    </row>
    <row r="15" spans="1:8" x14ac:dyDescent="0.25">
      <c r="B15" s="9" t="s">
        <v>28</v>
      </c>
      <c r="C15" s="9"/>
      <c r="D15" s="9"/>
      <c r="E15" s="9"/>
      <c r="F15" s="9"/>
      <c r="G15" s="9"/>
    </row>
    <row r="16" spans="1:8" x14ac:dyDescent="0.25">
      <c r="B16" s="1" t="s">
        <v>0</v>
      </c>
      <c r="C16" s="1" t="s">
        <v>37</v>
      </c>
      <c r="D16" s="1" t="s">
        <v>38</v>
      </c>
      <c r="E16" s="1" t="s">
        <v>39</v>
      </c>
      <c r="F16" s="1" t="s">
        <v>40</v>
      </c>
      <c r="G16" s="1" t="s">
        <v>41</v>
      </c>
    </row>
    <row r="17" spans="2:6" x14ac:dyDescent="0.25">
      <c r="B17">
        <v>1750</v>
      </c>
      <c r="C17">
        <f>H2</f>
        <v>15</v>
      </c>
    </row>
    <row r="18" spans="2:6" x14ac:dyDescent="0.25">
      <c r="B18" s="1">
        <v>1800</v>
      </c>
      <c r="C18">
        <f>H2</f>
        <v>15</v>
      </c>
    </row>
    <row r="19" spans="2:6" x14ac:dyDescent="0.25">
      <c r="B19">
        <v>1818</v>
      </c>
      <c r="C19">
        <f>H2+H3</f>
        <v>23.64</v>
      </c>
    </row>
    <row r="20" spans="2:6" x14ac:dyDescent="0.25">
      <c r="B20" s="1">
        <v>1830</v>
      </c>
      <c r="C20">
        <f>H2+H3</f>
        <v>23.64</v>
      </c>
    </row>
    <row r="21" spans="2:6" x14ac:dyDescent="0.25">
      <c r="B21">
        <v>1840</v>
      </c>
      <c r="C21">
        <f>H2+H3</f>
        <v>23.64</v>
      </c>
    </row>
    <row r="22" spans="2:6" x14ac:dyDescent="0.25">
      <c r="B22">
        <v>1841</v>
      </c>
      <c r="C22">
        <f>H4+H5</f>
        <v>39.6</v>
      </c>
    </row>
    <row r="23" spans="2:6" x14ac:dyDescent="0.25">
      <c r="B23" s="1">
        <v>1875</v>
      </c>
      <c r="C23">
        <f>H4+H5</f>
        <v>39.6</v>
      </c>
    </row>
    <row r="24" spans="2:6" x14ac:dyDescent="0.25">
      <c r="B24">
        <v>1900</v>
      </c>
      <c r="C24">
        <f>H4+H5</f>
        <v>39.6</v>
      </c>
      <c r="E24">
        <f>_xlfn.FORECAST.LINEAR(B24,D$25:D$33,B$25:B$33)</f>
        <v>17774.311926605471</v>
      </c>
      <c r="F24">
        <v>100</v>
      </c>
    </row>
    <row r="25" spans="2:6" x14ac:dyDescent="0.25">
      <c r="B25">
        <v>1910</v>
      </c>
      <c r="C25">
        <f>H4+H5</f>
        <v>39.6</v>
      </c>
      <c r="D25">
        <f>sources_consumption!D12</f>
        <v>14400</v>
      </c>
    </row>
    <row r="26" spans="2:6" x14ac:dyDescent="0.25">
      <c r="B26">
        <v>1911</v>
      </c>
      <c r="C26">
        <f>H6+H7</f>
        <v>37.6</v>
      </c>
      <c r="E26">
        <f>_xlfn.FORECAST.LINEAR(B26,D$25:D$28,B$25:B$28)</f>
        <v>14459.428571428565</v>
      </c>
    </row>
    <row r="27" spans="2:6" x14ac:dyDescent="0.25">
      <c r="B27" s="1">
        <v>1928</v>
      </c>
      <c r="C27">
        <f>H6+H7</f>
        <v>37.6</v>
      </c>
      <c r="E27">
        <f>_xlfn.FORECAST.LINEAR(B27,D$25:D$28,B$25:B$28)</f>
        <v>15469.71428571429</v>
      </c>
    </row>
    <row r="28" spans="2:6" x14ac:dyDescent="0.25">
      <c r="B28">
        <v>1935</v>
      </c>
      <c r="C28">
        <f>H6+H7</f>
        <v>37.6</v>
      </c>
      <c r="D28">
        <f>sources_consumption!D18</f>
        <v>15885.714285714288</v>
      </c>
    </row>
    <row r="29" spans="2:6" x14ac:dyDescent="0.25">
      <c r="B29">
        <v>1946</v>
      </c>
      <c r="C29">
        <f>H8+H9</f>
        <v>24</v>
      </c>
      <c r="E29">
        <f>_xlfn.FORECAST.LINEAR(B29,D$28:D$33,B$28:B$33)</f>
        <v>12814.693877551006</v>
      </c>
    </row>
    <row r="30" spans="2:6" x14ac:dyDescent="0.25">
      <c r="B30">
        <v>1950</v>
      </c>
      <c r="C30">
        <f>H8+H9+H10</f>
        <v>27.15</v>
      </c>
      <c r="E30">
        <f t="shared" ref="E30:E32" si="2">_xlfn.FORECAST.LINEAR(B30,D$28:D$33,B$28:B$33)</f>
        <v>11697.959183673491</v>
      </c>
    </row>
    <row r="31" spans="2:6" x14ac:dyDescent="0.25">
      <c r="B31" s="1">
        <v>1960</v>
      </c>
      <c r="C31">
        <f>H8+H9+H10+H11</f>
        <v>53.75</v>
      </c>
      <c r="E31">
        <f t="shared" si="2"/>
        <v>8906.1224489796441</v>
      </c>
    </row>
    <row r="32" spans="2:6" x14ac:dyDescent="0.25">
      <c r="B32" s="1">
        <v>1966</v>
      </c>
      <c r="C32">
        <f>H8+H9+H10+H11</f>
        <v>53.75</v>
      </c>
      <c r="E32">
        <f t="shared" si="2"/>
        <v>7231.0204081633128</v>
      </c>
    </row>
    <row r="33" spans="2:5" x14ac:dyDescent="0.25">
      <c r="B33">
        <v>1970</v>
      </c>
      <c r="C33">
        <f>H8+H9+H10+H11</f>
        <v>53.75</v>
      </c>
      <c r="D33">
        <f>sources_consumption!D24</f>
        <v>6114.2857142857147</v>
      </c>
    </row>
    <row r="34" spans="2:5" x14ac:dyDescent="0.25">
      <c r="B34" s="1">
        <v>1975</v>
      </c>
      <c r="C34">
        <f>H9+H10+H11</f>
        <v>51.35</v>
      </c>
      <c r="E34">
        <f>_xlfn.FORECAST.LINEAR(B34,D$33:D$39,B$33:B$39)</f>
        <v>6190.4105676190484</v>
      </c>
    </row>
    <row r="35" spans="2:5" x14ac:dyDescent="0.25">
      <c r="B35" s="1">
        <v>1978</v>
      </c>
      <c r="C35">
        <f>H9+H10+H11</f>
        <v>51.35</v>
      </c>
      <c r="E35">
        <f>_xlfn.FORECAST.LINEAR(B35,D$33:D$39,B$33:B$39)</f>
        <v>6236.085479619047</v>
      </c>
    </row>
    <row r="36" spans="2:5" x14ac:dyDescent="0.25">
      <c r="B36">
        <v>1982</v>
      </c>
      <c r="C36">
        <f>H9+H11</f>
        <v>48.2</v>
      </c>
      <c r="E36">
        <f>_xlfn.FORECAST.LINEAR(B36,D$33:D$39,B$33:B$39)</f>
        <v>6296.9853622857154</v>
      </c>
    </row>
    <row r="37" spans="2:5" x14ac:dyDescent="0.25">
      <c r="B37">
        <v>1985</v>
      </c>
      <c r="C37">
        <f>H9+H11+H13</f>
        <v>69.2</v>
      </c>
      <c r="E37">
        <f>_xlfn.FORECAST.LINEAR(B37,D$33:D$39,B$33:B$39)</f>
        <v>6342.660274285714</v>
      </c>
    </row>
    <row r="38" spans="2:5" x14ac:dyDescent="0.25">
      <c r="B38" s="1">
        <v>1998</v>
      </c>
      <c r="C38">
        <f>H9+H11+H13</f>
        <v>69.2</v>
      </c>
      <c r="E38">
        <f>_xlfn.FORECAST.LINEAR(B38,D$33:D$39,B$33:B$39)</f>
        <v>6540.5848929523818</v>
      </c>
    </row>
    <row r="39" spans="2:5" x14ac:dyDescent="0.25">
      <c r="B39">
        <v>2000</v>
      </c>
      <c r="C39">
        <f>H9+H11+H13</f>
        <v>69.2</v>
      </c>
      <c r="D39">
        <f>sources_consumption!D30</f>
        <v>6571.0348342857142</v>
      </c>
    </row>
  </sheetData>
  <mergeCells count="1">
    <mergeCell ref="B15:G1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6964B-F1D9-42CD-B124-F58AF00C8392}">
  <dimension ref="A1:I36"/>
  <sheetViews>
    <sheetView workbookViewId="0">
      <selection activeCell="E11" sqref="E11"/>
    </sheetView>
  </sheetViews>
  <sheetFormatPr defaultRowHeight="15" x14ac:dyDescent="0.25"/>
  <cols>
    <col min="1" max="1" width="16.28515625" customWidth="1"/>
    <col min="3" max="3" width="24.140625" customWidth="1"/>
    <col min="4" max="4" width="18.7109375" customWidth="1"/>
    <col min="5" max="5" width="20.5703125" customWidth="1"/>
    <col min="6" max="6" width="17.5703125" customWidth="1"/>
    <col min="7" max="7" width="18.28515625" customWidth="1"/>
    <col min="8" max="8" width="17.42578125" customWidth="1"/>
  </cols>
  <sheetData>
    <row r="1" spans="1:9" x14ac:dyDescent="0.25">
      <c r="A1" s="1" t="s">
        <v>12</v>
      </c>
      <c r="B1" s="1" t="s">
        <v>13</v>
      </c>
      <c r="C1" s="1" t="s">
        <v>14</v>
      </c>
      <c r="D1" s="1" t="s">
        <v>15</v>
      </c>
      <c r="E1" s="1" t="s">
        <v>17</v>
      </c>
      <c r="F1" s="1" t="s">
        <v>18</v>
      </c>
      <c r="G1" s="1" t="s">
        <v>19</v>
      </c>
      <c r="H1" s="1" t="s">
        <v>20</v>
      </c>
      <c r="I1" s="1" t="s">
        <v>110</v>
      </c>
    </row>
    <row r="2" spans="1:9" x14ac:dyDescent="0.25">
      <c r="A2" t="s">
        <v>16</v>
      </c>
      <c r="B2">
        <v>1750</v>
      </c>
      <c r="C2">
        <v>1840</v>
      </c>
      <c r="D2">
        <f xml:space="preserve"> (B2+C2)/2</f>
        <v>1795</v>
      </c>
      <c r="E2">
        <v>75</v>
      </c>
      <c r="F2">
        <v>4</v>
      </c>
      <c r="G2">
        <v>5</v>
      </c>
      <c r="H2">
        <f xml:space="preserve"> E2*F2*G2/100</f>
        <v>15</v>
      </c>
      <c r="I2">
        <f>(G$17/C$17)*H2</f>
        <v>39.454034524287351</v>
      </c>
    </row>
    <row r="3" spans="1:9" x14ac:dyDescent="0.25">
      <c r="A3" t="s">
        <v>55</v>
      </c>
      <c r="B3">
        <v>1750</v>
      </c>
      <c r="C3">
        <v>1840</v>
      </c>
      <c r="D3">
        <f t="shared" ref="D3:D12" si="0" xml:space="preserve"> (B3+C3)/2</f>
        <v>1795</v>
      </c>
      <c r="E3">
        <v>32</v>
      </c>
      <c r="F3">
        <v>1</v>
      </c>
      <c r="G3">
        <v>100</v>
      </c>
      <c r="H3">
        <f t="shared" ref="H3:H12" si="1" xml:space="preserve"> E3*F3*G3/100</f>
        <v>32</v>
      </c>
      <c r="I3">
        <f>(G$17/C$17)*H3</f>
        <v>84.168606985146354</v>
      </c>
    </row>
    <row r="4" spans="1:9" x14ac:dyDescent="0.25">
      <c r="A4" t="s">
        <v>22</v>
      </c>
      <c r="B4">
        <v>1841</v>
      </c>
      <c r="C4">
        <v>1910</v>
      </c>
      <c r="D4">
        <f t="shared" si="0"/>
        <v>1875.5</v>
      </c>
      <c r="E4">
        <v>45</v>
      </c>
      <c r="F4">
        <v>8</v>
      </c>
      <c r="G4">
        <v>5</v>
      </c>
      <c r="H4">
        <f t="shared" si="1"/>
        <v>18</v>
      </c>
      <c r="I4">
        <f>(G$20/C$20)*H4</f>
        <v>24.070754716981085</v>
      </c>
    </row>
    <row r="5" spans="1:9" x14ac:dyDescent="0.25">
      <c r="A5" t="s">
        <v>56</v>
      </c>
      <c r="B5">
        <v>1841</v>
      </c>
      <c r="C5">
        <v>1910</v>
      </c>
      <c r="D5">
        <f t="shared" si="0"/>
        <v>1875.5</v>
      </c>
      <c r="E5">
        <v>30</v>
      </c>
      <c r="F5">
        <v>2</v>
      </c>
      <c r="G5">
        <v>100</v>
      </c>
      <c r="H5">
        <f t="shared" si="1"/>
        <v>60</v>
      </c>
      <c r="I5">
        <f>(G$20/C$20)*H5</f>
        <v>80.235849056603612</v>
      </c>
    </row>
    <row r="6" spans="1:9" x14ac:dyDescent="0.25">
      <c r="A6" t="s">
        <v>26</v>
      </c>
      <c r="B6">
        <v>1911</v>
      </c>
      <c r="C6">
        <v>1945</v>
      </c>
      <c r="D6">
        <f t="shared" si="0"/>
        <v>1928</v>
      </c>
      <c r="E6">
        <v>10</v>
      </c>
      <c r="F6">
        <v>8</v>
      </c>
      <c r="G6">
        <v>5</v>
      </c>
      <c r="H6">
        <f t="shared" si="1"/>
        <v>4</v>
      </c>
      <c r="I6">
        <f>(G$24/C$24)*H6</f>
        <v>3.3874409386395881</v>
      </c>
    </row>
    <row r="7" spans="1:9" x14ac:dyDescent="0.25">
      <c r="A7" t="s">
        <v>57</v>
      </c>
      <c r="B7">
        <v>1911</v>
      </c>
      <c r="C7">
        <v>1945</v>
      </c>
      <c r="D7">
        <f xml:space="preserve"> (B7+C7)/2</f>
        <v>1928</v>
      </c>
      <c r="E7">
        <v>27</v>
      </c>
      <c r="F7">
        <v>3</v>
      </c>
      <c r="G7">
        <v>100</v>
      </c>
      <c r="H7">
        <f t="shared" si="1"/>
        <v>81</v>
      </c>
      <c r="I7">
        <f>(G$24/C$24)*H7</f>
        <v>68.595679007451665</v>
      </c>
    </row>
    <row r="8" spans="1:9" x14ac:dyDescent="0.25">
      <c r="A8" t="s">
        <v>27</v>
      </c>
      <c r="B8">
        <v>1946</v>
      </c>
      <c r="C8">
        <v>1975</v>
      </c>
      <c r="D8">
        <f t="shared" si="0"/>
        <v>1960.5</v>
      </c>
      <c r="E8">
        <v>4</v>
      </c>
      <c r="F8">
        <v>12</v>
      </c>
      <c r="G8">
        <v>5</v>
      </c>
      <c r="H8">
        <f t="shared" si="1"/>
        <v>2.4</v>
      </c>
      <c r="I8">
        <f>(G$28/C$28)*H8</f>
        <v>1.3396562560584291</v>
      </c>
    </row>
    <row r="9" spans="1:9" x14ac:dyDescent="0.25">
      <c r="A9" t="s">
        <v>58</v>
      </c>
      <c r="B9">
        <v>1946</v>
      </c>
      <c r="C9">
        <v>1975</v>
      </c>
      <c r="D9">
        <f t="shared" si="0"/>
        <v>1960.5</v>
      </c>
      <c r="E9">
        <v>24</v>
      </c>
      <c r="F9">
        <v>4</v>
      </c>
      <c r="G9">
        <v>100</v>
      </c>
      <c r="H9">
        <f t="shared" si="1"/>
        <v>96</v>
      </c>
      <c r="I9">
        <f>(G$28/C$28)*H9</f>
        <v>53.586250242337158</v>
      </c>
    </row>
    <row r="10" spans="1:9" x14ac:dyDescent="0.25">
      <c r="A10" t="s">
        <v>31</v>
      </c>
      <c r="B10">
        <v>1951</v>
      </c>
      <c r="C10">
        <v>1982</v>
      </c>
      <c r="D10">
        <f t="shared" si="0"/>
        <v>1966.5</v>
      </c>
      <c r="E10">
        <v>9</v>
      </c>
      <c r="F10">
        <v>7</v>
      </c>
      <c r="G10">
        <v>8</v>
      </c>
      <c r="H10">
        <f t="shared" si="1"/>
        <v>5.04</v>
      </c>
      <c r="I10">
        <f>(G$29/C$29)*H10</f>
        <v>1.9009929568363839</v>
      </c>
    </row>
    <row r="11" spans="1:9" x14ac:dyDescent="0.25">
      <c r="A11" t="s">
        <v>29</v>
      </c>
      <c r="B11">
        <v>1960</v>
      </c>
      <c r="C11">
        <v>1990</v>
      </c>
      <c r="D11">
        <v>1975</v>
      </c>
      <c r="E11">
        <f>dist_calculations!D$6</f>
        <v>38</v>
      </c>
      <c r="F11">
        <v>14</v>
      </c>
      <c r="G11">
        <v>8</v>
      </c>
      <c r="H11">
        <f t="shared" si="1"/>
        <v>42.56</v>
      </c>
      <c r="I11">
        <f>(G$31/C$31)*H11</f>
        <v>51.961890085904457</v>
      </c>
    </row>
    <row r="12" spans="1:9" x14ac:dyDescent="0.25">
      <c r="A12" t="s">
        <v>154</v>
      </c>
      <c r="B12">
        <v>1990</v>
      </c>
      <c r="C12">
        <v>2010</v>
      </c>
      <c r="D12">
        <f t="shared" ref="D12" si="2" xml:space="preserve"> (B12+C12)/2</f>
        <v>2000</v>
      </c>
      <c r="E12">
        <f>dist_calculations!D$10</f>
        <v>15</v>
      </c>
      <c r="F12">
        <f>42/3</f>
        <v>14</v>
      </c>
      <c r="G12">
        <v>8</v>
      </c>
      <c r="H12">
        <f t="shared" si="1"/>
        <v>16.8</v>
      </c>
      <c r="I12">
        <f>(G$36/C$36)*H12</f>
        <v>19.359081349056563</v>
      </c>
    </row>
    <row r="13" spans="1:9" x14ac:dyDescent="0.25">
      <c r="A13" t="s">
        <v>30</v>
      </c>
      <c r="B13">
        <v>1985</v>
      </c>
      <c r="C13">
        <v>2010</v>
      </c>
      <c r="D13">
        <f xml:space="preserve"> (B13+C13)/2</f>
        <v>1997.5</v>
      </c>
      <c r="E13">
        <f>dist_calculations!D$11</f>
        <v>10</v>
      </c>
      <c r="F13">
        <v>42</v>
      </c>
      <c r="G13">
        <v>8</v>
      </c>
      <c r="H13">
        <f xml:space="preserve"> E13*F13*G13/100</f>
        <v>33.6</v>
      </c>
      <c r="I13">
        <f>(G$35/C$35)*H13</f>
        <v>38.720190845282943</v>
      </c>
    </row>
    <row r="14" spans="1:9" x14ac:dyDescent="0.25">
      <c r="B14" s="1" t="s">
        <v>28</v>
      </c>
    </row>
    <row r="15" spans="1:9" x14ac:dyDescent="0.25">
      <c r="B15" s="1" t="s">
        <v>0</v>
      </c>
      <c r="C15" s="1" t="s">
        <v>37</v>
      </c>
      <c r="D15" s="1" t="s">
        <v>38</v>
      </c>
      <c r="E15" s="1" t="s">
        <v>39</v>
      </c>
      <c r="F15" s="1" t="s">
        <v>40</v>
      </c>
      <c r="G15" s="1" t="s">
        <v>41</v>
      </c>
      <c r="H15" s="1" t="s">
        <v>111</v>
      </c>
    </row>
    <row r="16" spans="1:9" x14ac:dyDescent="0.25">
      <c r="B16">
        <v>1750</v>
      </c>
      <c r="C16">
        <f>H2+H3</f>
        <v>47</v>
      </c>
    </row>
    <row r="17" spans="2:8" x14ac:dyDescent="0.25">
      <c r="B17" s="1">
        <v>1800</v>
      </c>
      <c r="C17">
        <f>H2+H3</f>
        <v>47</v>
      </c>
      <c r="D17">
        <f>sources_consumption!D3</f>
        <v>153600</v>
      </c>
      <c r="E17">
        <f>_xlfn.FORECAST.LINEAR(B17,D$17:D$22,B$17:B$22)</f>
        <v>153600</v>
      </c>
      <c r="F17">
        <f>(E17/E$22)*F$22</f>
        <v>158.49056603773553</v>
      </c>
      <c r="G17">
        <f>(F17/F$22)*C$22</f>
        <v>123.62264150943371</v>
      </c>
      <c r="H17">
        <f>I2+I3</f>
        <v>123.62264150943371</v>
      </c>
    </row>
    <row r="18" spans="2:8" x14ac:dyDescent="0.25">
      <c r="B18">
        <v>1820</v>
      </c>
      <c r="C18">
        <f>H2+H3</f>
        <v>47</v>
      </c>
      <c r="E18">
        <f>_xlfn.FORECAST.LINEAR(B18,D$17:D$22,B$17:B$22)</f>
        <v>147200</v>
      </c>
      <c r="F18">
        <f>(E18/E$22)*F$22</f>
        <v>151.88679245282987</v>
      </c>
      <c r="G18">
        <f t="shared" ref="G18:G36" si="3">(F18/F$22)*C$22</f>
        <v>118.47169811320728</v>
      </c>
      <c r="H18">
        <f>I2+I3</f>
        <v>123.62264150943371</v>
      </c>
    </row>
    <row r="19" spans="2:8" x14ac:dyDescent="0.25">
      <c r="B19">
        <v>1841</v>
      </c>
      <c r="C19">
        <f>H4+H5</f>
        <v>78</v>
      </c>
      <c r="E19">
        <f>_xlfn.FORECAST.LINEAR(B19,D$17:D$22,B$17:B$22)</f>
        <v>140480</v>
      </c>
      <c r="F19">
        <f>(E19/E$22)*F$22</f>
        <v>144.95283018867894</v>
      </c>
      <c r="G19">
        <f t="shared" si="3"/>
        <v>113.06320754716958</v>
      </c>
      <c r="H19">
        <f>I4+I5</f>
        <v>104.3066037735847</v>
      </c>
    </row>
    <row r="20" spans="2:8" x14ac:dyDescent="0.25">
      <c r="B20" s="1">
        <v>1875</v>
      </c>
      <c r="C20">
        <f>H4+H5</f>
        <v>78</v>
      </c>
      <c r="E20">
        <f>_xlfn.FORECAST.LINEAR(B20,D$17:D$22,B$17:B$22)</f>
        <v>129600</v>
      </c>
      <c r="F20">
        <f>(E20/E$22)*F$22</f>
        <v>133.72641509433936</v>
      </c>
      <c r="G20">
        <f t="shared" si="3"/>
        <v>104.3066037735847</v>
      </c>
      <c r="H20">
        <f>I4+I5</f>
        <v>104.3066037735847</v>
      </c>
    </row>
    <row r="21" spans="2:8" x14ac:dyDescent="0.25">
      <c r="B21">
        <v>1880</v>
      </c>
      <c r="C21">
        <f>H4+H5</f>
        <v>78</v>
      </c>
      <c r="D21">
        <f>sources_consumption!D8</f>
        <v>128000</v>
      </c>
      <c r="E21">
        <f>_xlfn.FORECAST.LINEAR(B21,D$17:D$22,B$17:B$22)</f>
        <v>128000</v>
      </c>
      <c r="F21">
        <f>(E21/E$22)*F$22</f>
        <v>132.07547169811292</v>
      </c>
      <c r="G21">
        <f t="shared" si="3"/>
        <v>103.01886792452807</v>
      </c>
      <c r="H21">
        <f>I4+I5</f>
        <v>104.3066037735847</v>
      </c>
    </row>
    <row r="22" spans="2:8" x14ac:dyDescent="0.25">
      <c r="B22">
        <v>1900</v>
      </c>
      <c r="C22">
        <f>H4+H5</f>
        <v>78</v>
      </c>
      <c r="E22">
        <f>_xlfn.FORECAST.LINEAR(B22,D$21:D$23,B$21:B$23)</f>
        <v>96914.285714285914</v>
      </c>
      <c r="F22">
        <v>100</v>
      </c>
      <c r="G22">
        <f t="shared" si="3"/>
        <v>78</v>
      </c>
      <c r="H22">
        <f>I4+I5</f>
        <v>104.3066037735847</v>
      </c>
    </row>
    <row r="23" spans="2:8" x14ac:dyDescent="0.25">
      <c r="B23">
        <v>1910</v>
      </c>
      <c r="C23">
        <f>H4+H5</f>
        <v>78</v>
      </c>
      <c r="D23">
        <f>sources_consumption!D13</f>
        <v>81371.42857142858</v>
      </c>
      <c r="F23">
        <f>(D23/E$22)*F$22</f>
        <v>83.962264150943227</v>
      </c>
      <c r="G23">
        <f t="shared" si="3"/>
        <v>65.490566037735718</v>
      </c>
      <c r="H23">
        <f>I6+I7</f>
        <v>71.98311994609125</v>
      </c>
    </row>
    <row r="24" spans="2:8" x14ac:dyDescent="0.25">
      <c r="B24" s="1">
        <v>1928</v>
      </c>
      <c r="C24">
        <f>H6+H7</f>
        <v>85</v>
      </c>
      <c r="E24">
        <f t="shared" ref="E24:E29" si="4">_xlfn.FORECAST.LINEAR(B24,D$21:D$30,B$21:B$30)</f>
        <v>89438.367346938467</v>
      </c>
      <c r="F24">
        <f t="shared" ref="F24:F36" si="5">(E24/E$22)*F$22</f>
        <v>92.286051212937494</v>
      </c>
      <c r="G24">
        <f t="shared" si="3"/>
        <v>71.98311994609125</v>
      </c>
      <c r="H24">
        <f>I6+I7</f>
        <v>71.98311994609125</v>
      </c>
    </row>
    <row r="25" spans="2:8" x14ac:dyDescent="0.25">
      <c r="B25">
        <v>1945</v>
      </c>
      <c r="C25">
        <f>H6+H7</f>
        <v>85</v>
      </c>
      <c r="E25">
        <f t="shared" si="4"/>
        <v>80036.326530612074</v>
      </c>
      <c r="F25">
        <f t="shared" si="5"/>
        <v>82.584652964959233</v>
      </c>
      <c r="G25">
        <f t="shared" si="3"/>
        <v>64.416029312668201</v>
      </c>
      <c r="H25">
        <f>I6+I7</f>
        <v>71.98311994609125</v>
      </c>
    </row>
    <row r="26" spans="2:8" x14ac:dyDescent="0.25">
      <c r="B26">
        <v>1950</v>
      </c>
      <c r="C26">
        <f>H8+H9</f>
        <v>98.4</v>
      </c>
      <c r="E26">
        <f t="shared" si="4"/>
        <v>77271.02040816308</v>
      </c>
      <c r="F26">
        <f t="shared" si="5"/>
        <v>79.731300539083207</v>
      </c>
      <c r="G26">
        <f t="shared" si="3"/>
        <v>62.190414420484899</v>
      </c>
      <c r="H26">
        <f>I8+I9</f>
        <v>54.925906498395584</v>
      </c>
    </row>
    <row r="27" spans="2:8" x14ac:dyDescent="0.25">
      <c r="B27">
        <v>1951</v>
      </c>
      <c r="C27">
        <f>H8+H9+H10</f>
        <v>103.44000000000001</v>
      </c>
      <c r="E27">
        <f t="shared" si="4"/>
        <v>76717.959183673374</v>
      </c>
      <c r="F27">
        <f t="shared" si="5"/>
        <v>79.160630053908093</v>
      </c>
      <c r="G27">
        <f t="shared" si="3"/>
        <v>61.74529144204832</v>
      </c>
      <c r="H27">
        <f>I8+I9</f>
        <v>54.925906498395584</v>
      </c>
    </row>
    <row r="28" spans="2:8" x14ac:dyDescent="0.25">
      <c r="B28" s="1">
        <v>1960</v>
      </c>
      <c r="C28">
        <f>H8+H9+H10</f>
        <v>103.44000000000001</v>
      </c>
      <c r="E28">
        <f t="shared" si="4"/>
        <v>71740.408163265092</v>
      </c>
      <c r="F28">
        <f t="shared" si="5"/>
        <v>74.024595687331157</v>
      </c>
      <c r="G28">
        <f t="shared" si="3"/>
        <v>57.739184636118296</v>
      </c>
      <c r="H28">
        <f>I8+I9+I10</f>
        <v>56.826899455231967</v>
      </c>
    </row>
    <row r="29" spans="2:8" x14ac:dyDescent="0.25">
      <c r="B29" s="1">
        <v>1966</v>
      </c>
      <c r="C29">
        <f>H8+H9+H10+H11</f>
        <v>146</v>
      </c>
      <c r="E29">
        <f t="shared" si="4"/>
        <v>68422.040816326393</v>
      </c>
      <c r="F29">
        <f t="shared" si="5"/>
        <v>70.600572776280032</v>
      </c>
      <c r="G29">
        <f t="shared" si="3"/>
        <v>55.068446765498429</v>
      </c>
      <c r="H29">
        <f>I$8+I$9+I$10+I$11</f>
        <v>108.78878954113642</v>
      </c>
    </row>
    <row r="30" spans="2:8" x14ac:dyDescent="0.25">
      <c r="B30">
        <v>1970</v>
      </c>
      <c r="C30">
        <f>H8+H9+H10+H11</f>
        <v>146</v>
      </c>
      <c r="D30">
        <f>sources_consumption!D25</f>
        <v>72217.14285714287</v>
      </c>
      <c r="E30">
        <f t="shared" ref="E30:E36" si="6">_xlfn.FORECAST.LINEAR(B30,D$30:D$36,B$30:B$36)</f>
        <v>72217.14285714287</v>
      </c>
      <c r="F30">
        <f t="shared" si="5"/>
        <v>74.516509433962113</v>
      </c>
      <c r="G30">
        <f t="shared" si="3"/>
        <v>58.122877358490442</v>
      </c>
      <c r="H30">
        <f>I$8+I$9+I$10+I$11</f>
        <v>108.78878954113642</v>
      </c>
    </row>
    <row r="31" spans="2:8" x14ac:dyDescent="0.25">
      <c r="B31" s="1">
        <v>1975</v>
      </c>
      <c r="C31">
        <f>H10+H11</f>
        <v>47.6</v>
      </c>
      <c r="E31">
        <f t="shared" si="6"/>
        <v>72207.693028571448</v>
      </c>
      <c r="F31">
        <f t="shared" si="5"/>
        <v>74.506758726414958</v>
      </c>
      <c r="G31">
        <f t="shared" si="3"/>
        <v>58.115271806603666</v>
      </c>
      <c r="H31">
        <f>I10+I11</f>
        <v>53.86288304274084</v>
      </c>
    </row>
    <row r="32" spans="2:8" x14ac:dyDescent="0.25">
      <c r="B32">
        <v>1980</v>
      </c>
      <c r="C32">
        <f>H10+H11</f>
        <v>47.6</v>
      </c>
      <c r="E32">
        <f t="shared" si="6"/>
        <v>72198.243200000012</v>
      </c>
      <c r="F32">
        <f t="shared" si="5"/>
        <v>74.497008018867788</v>
      </c>
      <c r="G32">
        <f t="shared" si="3"/>
        <v>58.107666254716868</v>
      </c>
      <c r="H32">
        <f>I10+I11</f>
        <v>53.86288304274084</v>
      </c>
    </row>
    <row r="33" spans="2:8" x14ac:dyDescent="0.25">
      <c r="B33">
        <v>1982</v>
      </c>
      <c r="C33">
        <f>H11</f>
        <v>42.56</v>
      </c>
      <c r="E33">
        <f t="shared" si="6"/>
        <v>72194.463268571446</v>
      </c>
      <c r="F33">
        <f t="shared" si="5"/>
        <v>74.493107735848923</v>
      </c>
      <c r="G33">
        <f t="shared" si="3"/>
        <v>58.104624033962153</v>
      </c>
      <c r="H33">
        <f>I11</f>
        <v>51.961890085904457</v>
      </c>
    </row>
    <row r="34" spans="2:8" x14ac:dyDescent="0.25">
      <c r="B34">
        <v>1985</v>
      </c>
      <c r="C34">
        <f>H11+H13</f>
        <v>76.16</v>
      </c>
      <c r="E34">
        <f t="shared" si="6"/>
        <v>72188.793371428575</v>
      </c>
      <c r="F34">
        <f t="shared" si="5"/>
        <v>74.487257311320604</v>
      </c>
      <c r="G34">
        <f t="shared" si="3"/>
        <v>58.100060702830078</v>
      </c>
      <c r="H34">
        <f>I11+I13</f>
        <v>90.6820809311874</v>
      </c>
    </row>
    <row r="35" spans="2:8" x14ac:dyDescent="0.25">
      <c r="B35" s="1">
        <v>1998</v>
      </c>
      <c r="C35">
        <f>H12+H13</f>
        <v>50.400000000000006</v>
      </c>
      <c r="E35">
        <f t="shared" si="6"/>
        <v>72164.223817142862</v>
      </c>
      <c r="F35">
        <f t="shared" si="5"/>
        <v>74.46190547169796</v>
      </c>
      <c r="G35">
        <f t="shared" si="3"/>
        <v>58.080286267924414</v>
      </c>
      <c r="H35">
        <f>I12+I13</f>
        <v>58.079272194339509</v>
      </c>
    </row>
    <row r="36" spans="2:8" x14ac:dyDescent="0.25">
      <c r="B36" s="1">
        <v>2000</v>
      </c>
      <c r="C36">
        <f>H12+H13</f>
        <v>50.400000000000006</v>
      </c>
      <c r="D36">
        <f>sources_consumption!D31</f>
        <v>72160.443885714281</v>
      </c>
      <c r="E36">
        <f t="shared" si="6"/>
        <v>72160.443885714281</v>
      </c>
      <c r="F36">
        <f t="shared" si="5"/>
        <v>74.458005188679095</v>
      </c>
      <c r="G36">
        <f t="shared" si="3"/>
        <v>58.0772440471697</v>
      </c>
      <c r="H36">
        <f>I12+I13</f>
        <v>58.079272194339509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1A0A5-E37D-4687-B138-8EDA14B48BB4}">
  <dimension ref="A1:I33"/>
  <sheetViews>
    <sheetView workbookViewId="0">
      <selection activeCell="E11" sqref="E11"/>
    </sheetView>
  </sheetViews>
  <sheetFormatPr defaultRowHeight="15" x14ac:dyDescent="0.25"/>
  <cols>
    <col min="1" max="1" width="27.7109375" customWidth="1"/>
    <col min="3" max="3" width="11.5703125" customWidth="1"/>
    <col min="5" max="5" width="13.7109375" customWidth="1"/>
    <col min="6" max="6" width="17.28515625" customWidth="1"/>
    <col min="7" max="7" width="16.28515625" customWidth="1"/>
    <col min="8" max="8" width="18" customWidth="1"/>
  </cols>
  <sheetData>
    <row r="1" spans="1:9" x14ac:dyDescent="0.25">
      <c r="A1" s="1" t="s">
        <v>12</v>
      </c>
      <c r="B1" s="1" t="s">
        <v>13</v>
      </c>
      <c r="C1" s="1" t="s">
        <v>14</v>
      </c>
      <c r="D1" s="1" t="s">
        <v>15</v>
      </c>
      <c r="E1" s="1" t="s">
        <v>17</v>
      </c>
      <c r="F1" s="1" t="s">
        <v>18</v>
      </c>
      <c r="G1" s="1" t="s">
        <v>19</v>
      </c>
      <c r="H1" s="1" t="s">
        <v>20</v>
      </c>
      <c r="I1" s="1" t="s">
        <v>110</v>
      </c>
    </row>
    <row r="2" spans="1:9" x14ac:dyDescent="0.25">
      <c r="A2" t="s">
        <v>16</v>
      </c>
      <c r="B2">
        <v>1750</v>
      </c>
      <c r="C2">
        <v>1840</v>
      </c>
      <c r="D2">
        <f xml:space="preserve"> (B2+C2)/2</f>
        <v>1795</v>
      </c>
      <c r="E2">
        <v>75</v>
      </c>
      <c r="F2">
        <v>4</v>
      </c>
      <c r="G2">
        <v>31</v>
      </c>
      <c r="H2">
        <f xml:space="preserve"> E2*F2*G2/100</f>
        <v>93</v>
      </c>
      <c r="I2">
        <f>(G$18/C$18)*H2</f>
        <v>36.872232776241404</v>
      </c>
    </row>
    <row r="3" spans="1:9" x14ac:dyDescent="0.25">
      <c r="A3" t="s">
        <v>59</v>
      </c>
      <c r="B3">
        <v>1820</v>
      </c>
      <c r="C3">
        <v>1840</v>
      </c>
      <c r="D3">
        <f t="shared" ref="D3:D12" si="0" xml:space="preserve"> (B3+C3)/2</f>
        <v>1830</v>
      </c>
      <c r="E3">
        <v>27</v>
      </c>
      <c r="F3">
        <v>1</v>
      </c>
      <c r="G3">
        <v>100</v>
      </c>
      <c r="H3">
        <f t="shared" ref="H3:H12" si="1" xml:space="preserve"> E3*F3*G3/100</f>
        <v>27</v>
      </c>
      <c r="I3">
        <f>(G$19/C$19)*H3</f>
        <v>14.510797688469392</v>
      </c>
    </row>
    <row r="4" spans="1:9" x14ac:dyDescent="0.25">
      <c r="A4" t="s">
        <v>22</v>
      </c>
      <c r="B4">
        <v>1841</v>
      </c>
      <c r="C4">
        <v>1910</v>
      </c>
      <c r="D4">
        <f t="shared" si="0"/>
        <v>1875.5</v>
      </c>
      <c r="E4">
        <v>45</v>
      </c>
      <c r="F4">
        <v>8</v>
      </c>
      <c r="G4">
        <v>31</v>
      </c>
      <c r="H4">
        <f t="shared" si="1"/>
        <v>111.6</v>
      </c>
      <c r="I4">
        <f>(G$20/C$20)*H4</f>
        <v>71.382713568594397</v>
      </c>
    </row>
    <row r="5" spans="1:9" x14ac:dyDescent="0.25">
      <c r="A5" t="s">
        <v>60</v>
      </c>
      <c r="B5">
        <v>1841</v>
      </c>
      <c r="C5">
        <v>1911</v>
      </c>
      <c r="D5">
        <f t="shared" si="0"/>
        <v>1876</v>
      </c>
      <c r="E5">
        <v>36</v>
      </c>
      <c r="F5">
        <v>2</v>
      </c>
      <c r="G5">
        <v>75</v>
      </c>
      <c r="H5">
        <f t="shared" si="1"/>
        <v>54</v>
      </c>
      <c r="I5">
        <f>(G$20/C$20)*H5</f>
        <v>34.540022694481159</v>
      </c>
    </row>
    <row r="6" spans="1:9" x14ac:dyDescent="0.25">
      <c r="A6" t="s">
        <v>26</v>
      </c>
      <c r="B6">
        <v>1911</v>
      </c>
      <c r="C6">
        <v>1945</v>
      </c>
      <c r="D6">
        <f t="shared" si="0"/>
        <v>1928</v>
      </c>
      <c r="E6">
        <v>10</v>
      </c>
      <c r="F6">
        <v>8</v>
      </c>
      <c r="G6">
        <v>31</v>
      </c>
      <c r="H6">
        <f t="shared" si="1"/>
        <v>24.8</v>
      </c>
      <c r="I6">
        <f>(G$24/C$24)*H6</f>
        <v>47.727106924248339</v>
      </c>
    </row>
    <row r="7" spans="1:9" x14ac:dyDescent="0.25">
      <c r="A7" t="s">
        <v>61</v>
      </c>
      <c r="B7">
        <v>1911</v>
      </c>
      <c r="C7">
        <v>1945</v>
      </c>
      <c r="D7">
        <f xml:space="preserve"> (B7+C7)/2</f>
        <v>1928</v>
      </c>
      <c r="E7">
        <v>30</v>
      </c>
      <c r="F7">
        <v>4</v>
      </c>
      <c r="G7">
        <v>67</v>
      </c>
      <c r="H7">
        <f t="shared" si="1"/>
        <v>80.400000000000006</v>
      </c>
      <c r="I7">
        <f>(G$24/C$24)*H7</f>
        <v>154.72820148022444</v>
      </c>
    </row>
    <row r="8" spans="1:9" x14ac:dyDescent="0.25">
      <c r="A8" t="s">
        <v>27</v>
      </c>
      <c r="B8">
        <v>1946</v>
      </c>
      <c r="C8">
        <v>1975</v>
      </c>
      <c r="D8">
        <f t="shared" si="0"/>
        <v>1960.5</v>
      </c>
      <c r="E8">
        <v>4</v>
      </c>
      <c r="F8">
        <v>12</v>
      </c>
      <c r="G8">
        <v>31</v>
      </c>
      <c r="H8">
        <f t="shared" si="1"/>
        <v>14.88</v>
      </c>
      <c r="I8">
        <f>(G$26/C$26)*H8</f>
        <v>28.813368686538901</v>
      </c>
    </row>
    <row r="9" spans="1:9" x14ac:dyDescent="0.25">
      <c r="A9" t="s">
        <v>62</v>
      </c>
      <c r="B9">
        <v>1946</v>
      </c>
      <c r="C9">
        <v>1987</v>
      </c>
      <c r="D9">
        <f t="shared" si="0"/>
        <v>1966.5</v>
      </c>
      <c r="E9">
        <v>15</v>
      </c>
      <c r="F9">
        <v>6</v>
      </c>
      <c r="G9">
        <v>67</v>
      </c>
      <c r="H9">
        <f t="shared" si="1"/>
        <v>60.3</v>
      </c>
      <c r="I9">
        <f>(G$27/C$27)*H9</f>
        <v>41.32964850745185</v>
      </c>
    </row>
    <row r="10" spans="1:9" x14ac:dyDescent="0.25">
      <c r="A10" t="s">
        <v>31</v>
      </c>
      <c r="B10">
        <v>1951</v>
      </c>
      <c r="C10">
        <v>1982</v>
      </c>
      <c r="D10">
        <f t="shared" si="0"/>
        <v>1966.5</v>
      </c>
      <c r="E10">
        <v>9</v>
      </c>
      <c r="F10">
        <v>7</v>
      </c>
      <c r="G10">
        <v>31</v>
      </c>
      <c r="H10">
        <f t="shared" si="1"/>
        <v>19.53</v>
      </c>
      <c r="I10">
        <f>(G$27/C$27)*H10</f>
        <v>13.385871233010525</v>
      </c>
    </row>
    <row r="11" spans="1:9" x14ac:dyDescent="0.25">
      <c r="A11" t="s">
        <v>29</v>
      </c>
      <c r="B11">
        <v>1960</v>
      </c>
      <c r="C11">
        <v>1990</v>
      </c>
      <c r="D11">
        <f t="shared" si="0"/>
        <v>1975</v>
      </c>
      <c r="E11">
        <f>dist_calculations!D$6</f>
        <v>38</v>
      </c>
      <c r="F11">
        <v>14</v>
      </c>
      <c r="G11">
        <v>31</v>
      </c>
      <c r="H11">
        <f t="shared" si="1"/>
        <v>164.92</v>
      </c>
      <c r="I11">
        <f>(G$29/C$29)*H11</f>
        <v>152.28404036826637</v>
      </c>
    </row>
    <row r="12" spans="1:9" x14ac:dyDescent="0.25">
      <c r="A12" t="s">
        <v>154</v>
      </c>
      <c r="B12">
        <v>1990</v>
      </c>
      <c r="C12">
        <v>2010</v>
      </c>
      <c r="D12">
        <f t="shared" si="0"/>
        <v>2000</v>
      </c>
      <c r="E12">
        <f>dist_calculations!D$10</f>
        <v>15</v>
      </c>
      <c r="F12">
        <f>42/3</f>
        <v>14</v>
      </c>
      <c r="G12">
        <v>31</v>
      </c>
      <c r="H12">
        <f t="shared" si="1"/>
        <v>65.099999999999994</v>
      </c>
      <c r="I12">
        <f>(G$33/C$33)*H12</f>
        <v>50.100304759889355</v>
      </c>
    </row>
    <row r="13" spans="1:9" x14ac:dyDescent="0.25">
      <c r="A13" t="s">
        <v>30</v>
      </c>
      <c r="B13">
        <v>1985</v>
      </c>
      <c r="C13">
        <v>2010</v>
      </c>
      <c r="D13">
        <f xml:space="preserve"> (B13+C13)/2</f>
        <v>1997.5</v>
      </c>
      <c r="E13">
        <f>dist_calculations!D$11</f>
        <v>10</v>
      </c>
      <c r="F13">
        <v>42</v>
      </c>
      <c r="G13">
        <v>31</v>
      </c>
      <c r="H13">
        <f xml:space="preserve"> E13*F13*G13/100</f>
        <v>130.19999999999999</v>
      </c>
      <c r="I13">
        <f>(G$32/C$32)*H13</f>
        <v>101.268170183672</v>
      </c>
    </row>
    <row r="15" spans="1:9" x14ac:dyDescent="0.25">
      <c r="B15" s="1" t="s">
        <v>28</v>
      </c>
    </row>
    <row r="16" spans="1:9" x14ac:dyDescent="0.25">
      <c r="A16" t="s">
        <v>66</v>
      </c>
      <c r="B16" s="1" t="s">
        <v>0</v>
      </c>
      <c r="C16" s="1" t="s">
        <v>37</v>
      </c>
      <c r="D16" s="1" t="s">
        <v>38</v>
      </c>
      <c r="E16" s="1" t="s">
        <v>39</v>
      </c>
      <c r="F16" s="1" t="s">
        <v>40</v>
      </c>
      <c r="G16" s="1" t="s">
        <v>41</v>
      </c>
      <c r="H16" s="1" t="s">
        <v>111</v>
      </c>
    </row>
    <row r="17" spans="1:8" x14ac:dyDescent="0.25">
      <c r="B17">
        <v>1750</v>
      </c>
      <c r="C17">
        <f>H2</f>
        <v>93</v>
      </c>
    </row>
    <row r="18" spans="1:8" x14ac:dyDescent="0.25">
      <c r="A18" t="s">
        <v>16</v>
      </c>
      <c r="B18" s="1">
        <v>1800</v>
      </c>
      <c r="C18">
        <f>H2</f>
        <v>93</v>
      </c>
      <c r="D18">
        <f>sources_consumption!D4</f>
        <v>21164</v>
      </c>
      <c r="F18">
        <f>(D18/E$22)*100</f>
        <v>22.265841048454956</v>
      </c>
      <c r="G18">
        <f>(F18/F$22)*C$22</f>
        <v>36.872232776241404</v>
      </c>
      <c r="H18">
        <f>I2</f>
        <v>36.872232776241404</v>
      </c>
    </row>
    <row r="19" spans="1:8" x14ac:dyDescent="0.25">
      <c r="A19" t="s">
        <v>59</v>
      </c>
      <c r="B19" s="1">
        <v>1830</v>
      </c>
      <c r="C19">
        <f>H2+H3</f>
        <v>120</v>
      </c>
      <c r="E19">
        <f>_xlfn.FORECAST.LINEAR(B19,D$18:D$21,B$18:B$21)</f>
        <v>37017.5</v>
      </c>
      <c r="F19">
        <f>(E19/E$22)*100</f>
        <v>38.944706624984946</v>
      </c>
      <c r="G19">
        <f>(F19/F$22)*C$22</f>
        <v>64.492434170975073</v>
      </c>
      <c r="H19">
        <f>I2+I3</f>
        <v>51.383030464710799</v>
      </c>
    </row>
    <row r="20" spans="1:8" x14ac:dyDescent="0.25">
      <c r="A20" t="s">
        <v>67</v>
      </c>
      <c r="B20" s="1">
        <v>1875</v>
      </c>
      <c r="C20">
        <f>H4+H5</f>
        <v>165.6</v>
      </c>
      <c r="E20">
        <f>_xlfn.FORECAST.LINEAR(B20,D$18:D$21,B$18:B$21)</f>
        <v>60797.75</v>
      </c>
      <c r="F20">
        <f>(E20/E$22)*100</f>
        <v>63.963004989779925</v>
      </c>
      <c r="G20">
        <f>(F20/F$22)*C$22</f>
        <v>105.92273626307555</v>
      </c>
      <c r="H20">
        <f>I4+I5</f>
        <v>105.92273626307556</v>
      </c>
    </row>
    <row r="21" spans="1:8" x14ac:dyDescent="0.25">
      <c r="B21">
        <v>1880</v>
      </c>
      <c r="C21">
        <f>H4+H5</f>
        <v>165.6</v>
      </c>
      <c r="D21">
        <f>sources_consumption!D9</f>
        <v>63440</v>
      </c>
      <c r="F21">
        <f>(D21/E$22)*100</f>
        <v>66.74281591920159</v>
      </c>
      <c r="G21">
        <f>(F21/F$22)*C$22</f>
        <v>110.52610316219783</v>
      </c>
      <c r="H21">
        <f>I4+I5</f>
        <v>105.92273626307556</v>
      </c>
    </row>
    <row r="22" spans="1:8" x14ac:dyDescent="0.25">
      <c r="B22">
        <v>1900</v>
      </c>
      <c r="C22">
        <f>H4+H5</f>
        <v>165.6</v>
      </c>
      <c r="E22">
        <f>_xlfn.FORECAST.LINEAR(B22,D$21:D$23,B$21:B$23)</f>
        <v>95051.428571428638</v>
      </c>
      <c r="F22">
        <v>100</v>
      </c>
      <c r="G22">
        <f>(F22/F$22)*C$22</f>
        <v>165.6</v>
      </c>
      <c r="H22">
        <f>I4+I5</f>
        <v>105.92273626307556</v>
      </c>
    </row>
    <row r="23" spans="1:8" x14ac:dyDescent="0.25">
      <c r="B23">
        <v>1910</v>
      </c>
      <c r="C23">
        <f>H4+H5</f>
        <v>165.6</v>
      </c>
      <c r="D23">
        <f>sources_consumption!D14</f>
        <v>110857.14285714287</v>
      </c>
      <c r="F23">
        <f>(D23/E$22)*100</f>
        <v>116.6285920403991</v>
      </c>
      <c r="G23">
        <f>(F23/F$22)*C$22</f>
        <v>193.13694841890091</v>
      </c>
      <c r="H23">
        <f>I4+I5</f>
        <v>105.92273626307556</v>
      </c>
    </row>
    <row r="24" spans="1:8" x14ac:dyDescent="0.25">
      <c r="A24" t="s">
        <v>68</v>
      </c>
      <c r="B24" s="1">
        <v>1928</v>
      </c>
      <c r="C24">
        <f>H6+H7</f>
        <v>105.2</v>
      </c>
      <c r="E24">
        <f>_xlfn.FORECAST.LINEAR(B24,D$23:D$25,B$23:B$25)</f>
        <v>116205.71428571438</v>
      </c>
      <c r="F24">
        <f>(E24/E$22)*100</f>
        <v>122.25562101719372</v>
      </c>
      <c r="G24">
        <f>(F24/F$22)*C$22</f>
        <v>202.45530840447279</v>
      </c>
      <c r="H24">
        <f>I6+I7</f>
        <v>202.45530840447279</v>
      </c>
    </row>
    <row r="25" spans="1:8" x14ac:dyDescent="0.25">
      <c r="B25">
        <v>1935</v>
      </c>
      <c r="C25">
        <f>H6+H7</f>
        <v>105.2</v>
      </c>
      <c r="D25">
        <f>sources_consumption!D20</f>
        <v>118285.7142857143</v>
      </c>
      <c r="F25">
        <f>(D25/E$22)*100</f>
        <v>124.44391006372484</v>
      </c>
      <c r="G25">
        <f>(F25/F$22)*C$22</f>
        <v>206.07911506552833</v>
      </c>
      <c r="H25">
        <f>I6+I7</f>
        <v>202.45530840447279</v>
      </c>
    </row>
    <row r="26" spans="1:8" x14ac:dyDescent="0.25">
      <c r="A26" t="s">
        <v>27</v>
      </c>
      <c r="B26" s="1">
        <v>1960</v>
      </c>
      <c r="C26">
        <f>H8+H9+H10</f>
        <v>94.71</v>
      </c>
      <c r="E26">
        <f>_xlfn.FORECAST.LINEAR(B26,D$25:D$28,B$25:B$28)</f>
        <v>105265.30612244899</v>
      </c>
      <c r="F26">
        <f>(E26/E$22)*100</f>
        <v>110.74563286899459</v>
      </c>
      <c r="G26">
        <f>(F26/F$22)*C$22</f>
        <v>183.39476803105504</v>
      </c>
      <c r="H26">
        <f>I8+I9+I10</f>
        <v>83.528888427001263</v>
      </c>
    </row>
    <row r="27" spans="1:8" x14ac:dyDescent="0.25">
      <c r="A27" t="s">
        <v>69</v>
      </c>
      <c r="B27" s="1">
        <v>1966</v>
      </c>
      <c r="C27">
        <f>H8+H9+H10+H11</f>
        <v>259.63</v>
      </c>
      <c r="E27">
        <f>_xlfn.FORECAST.LINEAR(B27,D$25:D$28,B$25:B$28)</f>
        <v>102140.40816326533</v>
      </c>
      <c r="F27">
        <f>(E27/E$22)*100</f>
        <v>107.45804634225935</v>
      </c>
      <c r="G27">
        <f>(F27/F$22)*C$22</f>
        <v>177.95052474278148</v>
      </c>
      <c r="H27">
        <f>I8+I9+I10+I11</f>
        <v>235.81292879526762</v>
      </c>
    </row>
    <row r="28" spans="1:8" x14ac:dyDescent="0.25">
      <c r="B28">
        <v>1970</v>
      </c>
      <c r="C28">
        <f>H8+H9+H10+H11</f>
        <v>259.63</v>
      </c>
      <c r="D28">
        <f>sources_consumption!D26</f>
        <v>100057.14285714286</v>
      </c>
      <c r="F28">
        <f>(D28/E$22)*100</f>
        <v>105.26632199110249</v>
      </c>
      <c r="G28">
        <f>(F28/F$22)*C$22</f>
        <v>174.3210292172657</v>
      </c>
      <c r="H28">
        <f>I8+I9+I10+I11</f>
        <v>235.81292879526762</v>
      </c>
    </row>
    <row r="29" spans="1:8" x14ac:dyDescent="0.25">
      <c r="A29" t="s">
        <v>29</v>
      </c>
      <c r="B29" s="1">
        <v>1975</v>
      </c>
      <c r="C29">
        <f>H10+H11</f>
        <v>184.45</v>
      </c>
      <c r="E29">
        <f>_xlfn.FORECAST.LINEAR(B29,D$28:D$33,B$28:B$33)</f>
        <v>97759.290361904888</v>
      </c>
      <c r="F29">
        <f>(E29/E$22)*100</f>
        <v>102.84883860366325</v>
      </c>
      <c r="G29">
        <f>(F29/F$22)*C$22</f>
        <v>170.31767672766634</v>
      </c>
      <c r="H29">
        <f>I10+I11</f>
        <v>165.66991160127691</v>
      </c>
    </row>
    <row r="30" spans="1:8" x14ac:dyDescent="0.25">
      <c r="B30">
        <v>1980</v>
      </c>
      <c r="C30">
        <f>H10+H11</f>
        <v>184.45</v>
      </c>
      <c r="E30">
        <f>_xlfn.FORECAST.LINEAR(B30,D$28:D$33,B$28:B$33)</f>
        <v>95461.43786666682</v>
      </c>
      <c r="F30">
        <f>(E30/E$22)*100</f>
        <v>100.43135521622388</v>
      </c>
      <c r="G30">
        <f>(F30/F$22)*C$22</f>
        <v>166.31432423806675</v>
      </c>
      <c r="H30">
        <f>I10+I11</f>
        <v>165.66991160127691</v>
      </c>
    </row>
    <row r="31" spans="1:8" x14ac:dyDescent="0.25">
      <c r="B31">
        <v>1982</v>
      </c>
      <c r="C31">
        <f>H11</f>
        <v>164.92</v>
      </c>
      <c r="E31">
        <f>_xlfn.FORECAST.LINEAR(B31,D$28:D$33,B$28:B$33)</f>
        <v>94542.296868571546</v>
      </c>
      <c r="F31">
        <f>(E31/E$22)*100</f>
        <v>99.464361861248094</v>
      </c>
      <c r="G31">
        <f>(F31/F$22)*C$22</f>
        <v>164.71298324222684</v>
      </c>
      <c r="H31">
        <f>I11</f>
        <v>152.28404036826637</v>
      </c>
    </row>
    <row r="32" spans="1:8" x14ac:dyDescent="0.25">
      <c r="A32" t="s">
        <v>30</v>
      </c>
      <c r="B32" s="1">
        <v>1998</v>
      </c>
      <c r="C32">
        <f>H12+H13</f>
        <v>195.29999999999998</v>
      </c>
      <c r="E32">
        <f>_xlfn.FORECAST.LINEAR(B32,D$28:D$33,B$28:B$33)</f>
        <v>87189.168883809587</v>
      </c>
      <c r="F32">
        <f>(E32/E$22)*100</f>
        <v>91.728415021442032</v>
      </c>
      <c r="G32">
        <f>(F32/F$22)*C$22</f>
        <v>151.902255275508</v>
      </c>
      <c r="H32">
        <f>I12+I13</f>
        <v>151.36847494356135</v>
      </c>
    </row>
    <row r="33" spans="2:8" x14ac:dyDescent="0.25">
      <c r="B33">
        <v>2000</v>
      </c>
      <c r="C33">
        <f>H12+H13</f>
        <v>195.29999999999998</v>
      </c>
      <c r="D33">
        <f>sources_consumption!D32</f>
        <v>86270.027885714284</v>
      </c>
      <c r="F33">
        <f>(D33/E$22)*100</f>
        <v>90.761421666466219</v>
      </c>
      <c r="G33">
        <f>(F33/F$22)*C$22</f>
        <v>150.30091427966806</v>
      </c>
      <c r="H33">
        <f>I12+I13</f>
        <v>151.36847494356135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312D0-D4A8-4839-A339-273C067DDA63}">
  <dimension ref="A1:I32"/>
  <sheetViews>
    <sheetView workbookViewId="0">
      <selection activeCell="H14" sqref="H14"/>
    </sheetView>
  </sheetViews>
  <sheetFormatPr defaultRowHeight="15" x14ac:dyDescent="0.25"/>
  <cols>
    <col min="1" max="1" width="18.85546875" customWidth="1"/>
    <col min="5" max="5" width="19.28515625" customWidth="1"/>
    <col min="7" max="7" width="17.5703125" customWidth="1"/>
    <col min="8" max="8" width="18.42578125" customWidth="1"/>
  </cols>
  <sheetData>
    <row r="1" spans="1:9" x14ac:dyDescent="0.25">
      <c r="A1" s="1" t="s">
        <v>12</v>
      </c>
      <c r="B1" s="1" t="s">
        <v>13</v>
      </c>
      <c r="C1" s="1" t="s">
        <v>14</v>
      </c>
      <c r="D1" s="1" t="s">
        <v>15</v>
      </c>
      <c r="E1" s="1" t="s">
        <v>17</v>
      </c>
      <c r="F1" s="1" t="s">
        <v>18</v>
      </c>
      <c r="G1" s="1" t="s">
        <v>19</v>
      </c>
      <c r="H1" s="1" t="s">
        <v>20</v>
      </c>
      <c r="I1" s="1" t="s">
        <v>117</v>
      </c>
    </row>
    <row r="2" spans="1:9" x14ac:dyDescent="0.25">
      <c r="A2" t="s">
        <v>16</v>
      </c>
      <c r="B2">
        <v>1750</v>
      </c>
      <c r="C2">
        <v>1840</v>
      </c>
      <c r="D2">
        <f xml:space="preserve"> (B2+C2)/2</f>
        <v>1795</v>
      </c>
      <c r="E2">
        <v>75</v>
      </c>
      <c r="F2">
        <v>4</v>
      </c>
      <c r="G2">
        <v>16</v>
      </c>
      <c r="H2">
        <f xml:space="preserve"> E2*F2*G2/100</f>
        <v>48</v>
      </c>
      <c r="I2">
        <f>(G$18/C$18)*H2</f>
        <v>88.393392628299338</v>
      </c>
    </row>
    <row r="3" spans="1:9" x14ac:dyDescent="0.25">
      <c r="A3" t="s">
        <v>59</v>
      </c>
      <c r="B3">
        <v>1820</v>
      </c>
      <c r="C3">
        <v>1840</v>
      </c>
      <c r="D3">
        <f t="shared" ref="D3:D12" si="0" xml:space="preserve"> (B3+C3)/2</f>
        <v>1830</v>
      </c>
      <c r="E3">
        <v>27</v>
      </c>
      <c r="F3">
        <v>1</v>
      </c>
      <c r="G3">
        <v>100</v>
      </c>
      <c r="H3">
        <f t="shared" ref="H3:H12" si="1" xml:space="preserve"> E3*F3*G3/100</f>
        <v>27</v>
      </c>
      <c r="I3">
        <f>(G19/C19)*H3</f>
        <v>35.187615534177937</v>
      </c>
    </row>
    <row r="4" spans="1:9" x14ac:dyDescent="0.25">
      <c r="A4" t="s">
        <v>22</v>
      </c>
      <c r="B4">
        <v>1841</v>
      </c>
      <c r="C4">
        <v>1910</v>
      </c>
      <c r="D4">
        <f t="shared" si="0"/>
        <v>1875.5</v>
      </c>
      <c r="E4">
        <v>45</v>
      </c>
      <c r="F4">
        <v>8</v>
      </c>
      <c r="G4">
        <v>16</v>
      </c>
      <c r="H4">
        <f t="shared" si="1"/>
        <v>57.6</v>
      </c>
      <c r="I4">
        <f>(G$20/C$20)*H4</f>
        <v>49.674823229830999</v>
      </c>
    </row>
    <row r="5" spans="1:9" x14ac:dyDescent="0.25">
      <c r="A5" t="s">
        <v>60</v>
      </c>
      <c r="B5">
        <v>1841</v>
      </c>
      <c r="C5">
        <v>1911</v>
      </c>
      <c r="D5">
        <f t="shared" si="0"/>
        <v>1876</v>
      </c>
      <c r="E5">
        <v>36</v>
      </c>
      <c r="F5">
        <v>2</v>
      </c>
      <c r="G5">
        <v>100</v>
      </c>
      <c r="H5">
        <f t="shared" si="1"/>
        <v>72</v>
      </c>
      <c r="I5">
        <f>(G$20/C$20)*H5</f>
        <v>62.093529037288747</v>
      </c>
    </row>
    <row r="6" spans="1:9" x14ac:dyDescent="0.25">
      <c r="A6" t="s">
        <v>26</v>
      </c>
      <c r="B6">
        <v>1911</v>
      </c>
      <c r="C6">
        <v>1945</v>
      </c>
      <c r="D6">
        <f t="shared" si="0"/>
        <v>1928</v>
      </c>
      <c r="E6">
        <v>10</v>
      </c>
      <c r="F6">
        <v>8</v>
      </c>
      <c r="G6">
        <v>16</v>
      </c>
      <c r="H6">
        <f t="shared" si="1"/>
        <v>12.8</v>
      </c>
      <c r="I6">
        <f>(G$23/C$23)*H6</f>
        <v>15.724380303403803</v>
      </c>
    </row>
    <row r="7" spans="1:9" x14ac:dyDescent="0.25">
      <c r="A7" t="s">
        <v>61</v>
      </c>
      <c r="B7">
        <v>1911</v>
      </c>
      <c r="C7">
        <v>1945</v>
      </c>
      <c r="D7">
        <f xml:space="preserve"> (B7+C7)/2</f>
        <v>1928</v>
      </c>
      <c r="E7">
        <v>30</v>
      </c>
      <c r="F7">
        <v>4</v>
      </c>
      <c r="G7">
        <v>100</v>
      </c>
      <c r="H7">
        <f t="shared" si="1"/>
        <v>120</v>
      </c>
      <c r="I7">
        <f>(G$23/C$23)*H7</f>
        <v>147.41606534441064</v>
      </c>
    </row>
    <row r="8" spans="1:9" x14ac:dyDescent="0.25">
      <c r="A8" t="s">
        <v>27</v>
      </c>
      <c r="B8">
        <v>1946</v>
      </c>
      <c r="C8">
        <v>1975</v>
      </c>
      <c r="D8">
        <f t="shared" si="0"/>
        <v>1960.5</v>
      </c>
      <c r="E8">
        <v>4</v>
      </c>
      <c r="F8">
        <v>12</v>
      </c>
      <c r="G8">
        <v>16</v>
      </c>
      <c r="H8">
        <f t="shared" si="1"/>
        <v>7.68</v>
      </c>
      <c r="I8">
        <f>(G$25/C$25)*H8</f>
        <v>9.0927108739976674</v>
      </c>
    </row>
    <row r="9" spans="1:9" x14ac:dyDescent="0.25">
      <c r="A9" t="s">
        <v>62</v>
      </c>
      <c r="B9">
        <v>1946</v>
      </c>
      <c r="C9">
        <v>1987</v>
      </c>
      <c r="D9">
        <f t="shared" si="0"/>
        <v>1966.5</v>
      </c>
      <c r="E9">
        <v>15</v>
      </c>
      <c r="F9">
        <v>6</v>
      </c>
      <c r="G9">
        <v>100</v>
      </c>
      <c r="H9">
        <f t="shared" si="1"/>
        <v>90</v>
      </c>
      <c r="I9">
        <f>(G$26/C$26)*H9</f>
        <v>54.735666321490882</v>
      </c>
    </row>
    <row r="10" spans="1:9" x14ac:dyDescent="0.25">
      <c r="A10" t="s">
        <v>31</v>
      </c>
      <c r="B10">
        <v>1951</v>
      </c>
      <c r="C10">
        <v>1982</v>
      </c>
      <c r="D10">
        <f t="shared" si="0"/>
        <v>1966.5</v>
      </c>
      <c r="E10">
        <v>9</v>
      </c>
      <c r="F10">
        <v>7</v>
      </c>
      <c r="G10">
        <v>16</v>
      </c>
      <c r="H10">
        <f t="shared" si="1"/>
        <v>10.08</v>
      </c>
      <c r="I10">
        <f>(G$26/C$26)*H10</f>
        <v>6.1303946280069788</v>
      </c>
    </row>
    <row r="11" spans="1:9" x14ac:dyDescent="0.25">
      <c r="A11" t="s">
        <v>29</v>
      </c>
      <c r="B11">
        <v>1960</v>
      </c>
      <c r="C11">
        <v>1990</v>
      </c>
      <c r="D11">
        <f t="shared" si="0"/>
        <v>1975</v>
      </c>
      <c r="E11">
        <f>dist_calculations!D$6</f>
        <v>38</v>
      </c>
      <c r="F11">
        <v>14</v>
      </c>
      <c r="G11">
        <v>16</v>
      </c>
      <c r="H11">
        <f t="shared" si="1"/>
        <v>85.12</v>
      </c>
      <c r="I11">
        <f>(G$28/C$28)*H11</f>
        <v>101.39225483348358</v>
      </c>
    </row>
    <row r="12" spans="1:9" x14ac:dyDescent="0.25">
      <c r="A12" t="s">
        <v>154</v>
      </c>
      <c r="B12">
        <v>1990</v>
      </c>
      <c r="C12">
        <v>2010</v>
      </c>
      <c r="D12">
        <f t="shared" si="0"/>
        <v>2000</v>
      </c>
      <c r="E12">
        <f>dist_calculations!D$10</f>
        <v>15</v>
      </c>
      <c r="F12">
        <f>42/3</f>
        <v>14</v>
      </c>
      <c r="G12">
        <v>16</v>
      </c>
      <c r="H12">
        <f t="shared" si="1"/>
        <v>33.6</v>
      </c>
      <c r="I12">
        <f>(G$32/C$32)*H12</f>
        <v>42.710201183148001</v>
      </c>
    </row>
    <row r="13" spans="1:9" x14ac:dyDescent="0.25">
      <c r="A13" t="s">
        <v>30</v>
      </c>
      <c r="B13">
        <v>1985</v>
      </c>
      <c r="C13">
        <v>2010</v>
      </c>
      <c r="D13">
        <f xml:space="preserve"> (B13+C13)/2</f>
        <v>1997.5</v>
      </c>
      <c r="E13">
        <f>dist_calculations!D$11</f>
        <v>10</v>
      </c>
      <c r="F13">
        <v>42</v>
      </c>
      <c r="G13">
        <v>16</v>
      </c>
      <c r="H13">
        <f xml:space="preserve"> E13*F13*G13/100</f>
        <v>67.2</v>
      </c>
      <c r="I13">
        <f>(G$31/C$31)*H13</f>
        <v>84.634729237235277</v>
      </c>
    </row>
    <row r="15" spans="1:9" x14ac:dyDescent="0.25">
      <c r="B15" s="1" t="s">
        <v>28</v>
      </c>
    </row>
    <row r="16" spans="1:9" x14ac:dyDescent="0.25">
      <c r="A16" t="s">
        <v>66</v>
      </c>
      <c r="B16" s="1" t="s">
        <v>0</v>
      </c>
      <c r="C16" s="1" t="s">
        <v>37</v>
      </c>
      <c r="D16" s="1" t="s">
        <v>38</v>
      </c>
      <c r="E16" s="1" t="s">
        <v>39</v>
      </c>
      <c r="F16" s="1" t="s">
        <v>40</v>
      </c>
      <c r="G16" s="1" t="s">
        <v>41</v>
      </c>
      <c r="H16" s="1" t="s">
        <v>111</v>
      </c>
      <c r="I16" s="1" t="s">
        <v>164</v>
      </c>
    </row>
    <row r="17" spans="1:9" x14ac:dyDescent="0.25">
      <c r="B17">
        <v>1750</v>
      </c>
      <c r="C17">
        <f>H2</f>
        <v>48</v>
      </c>
    </row>
    <row r="18" spans="1:9" x14ac:dyDescent="0.25">
      <c r="A18" t="s">
        <v>16</v>
      </c>
      <c r="B18" s="1">
        <v>1800</v>
      </c>
      <c r="C18">
        <f>H2</f>
        <v>48</v>
      </c>
      <c r="D18">
        <f>sources_consumption!D4</f>
        <v>21164</v>
      </c>
      <c r="F18">
        <f>(D18/E$22)*100</f>
        <v>68.204778262576653</v>
      </c>
      <c r="G18">
        <f>(F18/F$22)*C$22</f>
        <v>88.393392628299338</v>
      </c>
      <c r="H18">
        <f>I2</f>
        <v>88.393392628299338</v>
      </c>
      <c r="I18">
        <f>(H18/G18 -1)*100</f>
        <v>0</v>
      </c>
    </row>
    <row r="19" spans="1:9" x14ac:dyDescent="0.25">
      <c r="A19" t="s">
        <v>59</v>
      </c>
      <c r="B19" s="1">
        <v>1830</v>
      </c>
      <c r="C19">
        <f>H2+H3</f>
        <v>75</v>
      </c>
      <c r="E19">
        <f>_xlfn.FORECAST.LINEAR(B19,D$18:D$21,B$18:B$21)</f>
        <v>23402.663461538497</v>
      </c>
      <c r="F19">
        <f>(E19/E$22)*100</f>
        <v>75.419271978262046</v>
      </c>
      <c r="G19">
        <f>(F19/F$22)*C$22</f>
        <v>97.743376483827603</v>
      </c>
      <c r="H19">
        <f>I2+I3</f>
        <v>123.58100816247727</v>
      </c>
      <c r="I19">
        <f>(H19/G19 -1)*100</f>
        <v>26.434150945179091</v>
      </c>
    </row>
    <row r="20" spans="1:9" x14ac:dyDescent="0.25">
      <c r="A20" t="s">
        <v>67</v>
      </c>
      <c r="B20" s="1">
        <v>1875</v>
      </c>
      <c r="C20">
        <f>H4+H5</f>
        <v>129.6</v>
      </c>
      <c r="E20">
        <f>_xlfn.FORECAST.LINEAR(B20,D$18:D$21,B$18:B$21)</f>
        <v>26760.658653846185</v>
      </c>
      <c r="F20">
        <f>(E20/E$22)*100</f>
        <v>86.241012551789936</v>
      </c>
      <c r="G20">
        <f>(F20/F$22)*C$22</f>
        <v>111.76835226711975</v>
      </c>
      <c r="H20">
        <f>I4+I5</f>
        <v>111.76835226711975</v>
      </c>
      <c r="I20">
        <f>(H20/G20 -1)*100</f>
        <v>0</v>
      </c>
    </row>
    <row r="21" spans="1:9" x14ac:dyDescent="0.25">
      <c r="B21">
        <v>1880</v>
      </c>
      <c r="C21">
        <f>H4+H5</f>
        <v>129.6</v>
      </c>
      <c r="D21">
        <f>sources_consumption!D10</f>
        <v>27133.769230769234</v>
      </c>
      <c r="F21">
        <f>(D21/E$22)*100</f>
        <v>87.443428171070735</v>
      </c>
      <c r="G21">
        <f>(F21/F$22)*C$22</f>
        <v>113.32668290970767</v>
      </c>
      <c r="H21">
        <f>I4+I5</f>
        <v>111.76835226711975</v>
      </c>
      <c r="I21">
        <f>(H21/G21 -1)*100</f>
        <v>-1.3750783156950885</v>
      </c>
    </row>
    <row r="22" spans="1:9" x14ac:dyDescent="0.25">
      <c r="B22">
        <v>1900</v>
      </c>
      <c r="C22">
        <f>H4+H5</f>
        <v>129.6</v>
      </c>
      <c r="E22">
        <f>_xlfn.FORECAST.LINEAR(B22,D$21:D$27,B$21:B$27)</f>
        <v>31030.084019219652</v>
      </c>
      <c r="F22">
        <v>100</v>
      </c>
      <c r="G22">
        <f>(F22/F$22)*C$22</f>
        <v>129.6</v>
      </c>
      <c r="H22">
        <f>I4+I5</f>
        <v>111.76835226711975</v>
      </c>
      <c r="I22">
        <f>(H22/G22 -1)*100</f>
        <v>-13.758987448210069</v>
      </c>
    </row>
    <row r="23" spans="1:9" x14ac:dyDescent="0.25">
      <c r="A23" t="s">
        <v>68</v>
      </c>
      <c r="B23" s="1">
        <v>1928</v>
      </c>
      <c r="C23">
        <f>H6+H7</f>
        <v>132.80000000000001</v>
      </c>
      <c r="E23">
        <f>_xlfn.FORECAST.LINEAR(B23,D$21:D$24,B$21:B$24)</f>
        <v>39060.661538461572</v>
      </c>
      <c r="F23">
        <f>(E23/E$22)*100</f>
        <v>125.87997349368401</v>
      </c>
      <c r="G23">
        <f>(F23/F$22)*C$22</f>
        <v>163.14044564781446</v>
      </c>
      <c r="H23">
        <f>I6+I7</f>
        <v>163.14044564781443</v>
      </c>
      <c r="I23">
        <f>(H23/G23 -1)*100</f>
        <v>-2.2204460492503131E-14</v>
      </c>
    </row>
    <row r="24" spans="1:9" x14ac:dyDescent="0.25">
      <c r="B24" s="1">
        <v>1935</v>
      </c>
      <c r="C24">
        <f>H6+H7</f>
        <v>132.80000000000001</v>
      </c>
      <c r="D24">
        <f>sources_consumption!D21</f>
        <v>40800.000000000007</v>
      </c>
      <c r="F24">
        <f>(D24/E$22)*100</f>
        <v>131.48530301989834</v>
      </c>
      <c r="G24">
        <f>(F24/F$22)*C$22</f>
        <v>170.40495271378825</v>
      </c>
      <c r="H24">
        <f>I6+I7</f>
        <v>163.14044564781443</v>
      </c>
      <c r="I24">
        <f>(H24/G24 -1)*100</f>
        <v>-4.2630844645550114</v>
      </c>
    </row>
    <row r="25" spans="1:9" x14ac:dyDescent="0.25">
      <c r="A25" t="s">
        <v>27</v>
      </c>
      <c r="B25" s="1">
        <v>1960</v>
      </c>
      <c r="C25">
        <f>H8+H9+H10</f>
        <v>107.76</v>
      </c>
      <c r="E25">
        <f>_xlfn.FORECAST.LINEAR(B25,D$24:D$27,B$24:B$27)</f>
        <v>30546.938775510294</v>
      </c>
      <c r="F25">
        <f>(E25/E$22)*100</f>
        <v>98.442977971280698</v>
      </c>
      <c r="G25">
        <f>(F25/F$22)*C$22</f>
        <v>127.58209945077978</v>
      </c>
      <c r="H25">
        <f>I8+I9+I10</f>
        <v>69.958771823495525</v>
      </c>
      <c r="I25">
        <f>(H25/G25 -1)*100</f>
        <v>-45.165683803090971</v>
      </c>
    </row>
    <row r="26" spans="1:9" x14ac:dyDescent="0.25">
      <c r="A26" t="s">
        <v>69</v>
      </c>
      <c r="B26" s="1">
        <v>1966</v>
      </c>
      <c r="C26">
        <f>H8+H9+H10+H11</f>
        <v>192.88</v>
      </c>
      <c r="E26">
        <f>_xlfn.FORECAST.LINEAR(B26,D$24:D$27,B$24:B$27)</f>
        <v>28086.204081632663</v>
      </c>
      <c r="F26">
        <f>(E26/E$22)*100</f>
        <v>90.512819959612145</v>
      </c>
      <c r="G26">
        <f>(F26/F$22)*C$22</f>
        <v>117.30461466765733</v>
      </c>
      <c r="H26">
        <f>I8+I9+I10+I11</f>
        <v>171.35102665697912</v>
      </c>
      <c r="I26">
        <f>(H26/G26 -1)*100</f>
        <v>46.073559972422132</v>
      </c>
    </row>
    <row r="27" spans="1:9" x14ac:dyDescent="0.25">
      <c r="B27">
        <v>1970</v>
      </c>
      <c r="C27">
        <f>H8+H9+H10+H11</f>
        <v>192.88</v>
      </c>
      <c r="D27">
        <f>sources_consumption!D27</f>
        <v>26445.714285714286</v>
      </c>
      <c r="F27">
        <f>(D27/E$22)*100</f>
        <v>85.226047951833252</v>
      </c>
      <c r="G27">
        <f>(F27/F$22)*C$22</f>
        <v>110.45295814557589</v>
      </c>
      <c r="H27">
        <f>I8+I9+I10+I11</f>
        <v>171.35102665697912</v>
      </c>
      <c r="I27">
        <f>(H27/G27 -1)*100</f>
        <v>55.134846122582061</v>
      </c>
    </row>
    <row r="28" spans="1:9" x14ac:dyDescent="0.25">
      <c r="A28" t="s">
        <v>29</v>
      </c>
      <c r="B28" s="1">
        <v>1975</v>
      </c>
      <c r="C28">
        <f>H10+H11</f>
        <v>95.2</v>
      </c>
      <c r="E28">
        <f>_xlfn.FORECAST.LINEAR(B28,D$27:D$32,B$27:B$32)</f>
        <v>27151.139725714311</v>
      </c>
      <c r="F28">
        <f>(E28/E$22)*100</f>
        <v>87.499407700273153</v>
      </c>
      <c r="G28">
        <f>(F28/F$22)*C$22</f>
        <v>113.39923237955401</v>
      </c>
      <c r="H28">
        <f>I10+I11</f>
        <v>107.52264946149056</v>
      </c>
      <c r="I28">
        <f>(H28/G28 -1)*100</f>
        <v>-5.1822069645005797</v>
      </c>
    </row>
    <row r="29" spans="1:9" x14ac:dyDescent="0.25">
      <c r="B29">
        <v>1980</v>
      </c>
      <c r="C29">
        <f>H10+H11</f>
        <v>95.2</v>
      </c>
      <c r="E29">
        <f>_xlfn.FORECAST.LINEAR(B29,D$27:D$32,B$27:B$32)</f>
        <v>27856.565165714273</v>
      </c>
      <c r="F29">
        <f>(E29/E$22)*100</f>
        <v>89.77276744871287</v>
      </c>
      <c r="G29">
        <f>(F29/F$22)*C$22</f>
        <v>116.34550661353187</v>
      </c>
      <c r="H29">
        <f>I10+I11</f>
        <v>107.52264946149056</v>
      </c>
      <c r="I29">
        <f>(H29/G29 -1)*100</f>
        <v>-7.5833243662331018</v>
      </c>
    </row>
    <row r="30" spans="1:9" x14ac:dyDescent="0.25">
      <c r="B30">
        <v>1982</v>
      </c>
      <c r="C30">
        <f>H11</f>
        <v>85.12</v>
      </c>
      <c r="E30">
        <f>_xlfn.FORECAST.LINEAR(B30,D$27:D$32,B$27:B$32)</f>
        <v>28138.735341714259</v>
      </c>
      <c r="F30">
        <f>(E30/E$22)*100</f>
        <v>90.682111348088753</v>
      </c>
      <c r="G30">
        <f>(F30/F$22)*C$22</f>
        <v>117.52401630712302</v>
      </c>
      <c r="H30">
        <f>I11</f>
        <v>101.39225483348358</v>
      </c>
      <c r="I30">
        <f>(H30/G30 -1)*100</f>
        <v>-13.726353115334867</v>
      </c>
    </row>
    <row r="31" spans="1:9" x14ac:dyDescent="0.25">
      <c r="A31" t="s">
        <v>30</v>
      </c>
      <c r="B31" s="1">
        <v>1998</v>
      </c>
      <c r="C31">
        <f>H12+H13</f>
        <v>100.80000000000001</v>
      </c>
      <c r="E31">
        <f>_xlfn.FORECAST.LINEAR(B31,D$27:D$32,B$27:B$32)</f>
        <v>30396.096749714314</v>
      </c>
      <c r="F31">
        <f>(E31/E$22)*100</f>
        <v>97.956862543096392</v>
      </c>
      <c r="G31">
        <f>(F31/F$22)*C$22</f>
        <v>126.95209385585292</v>
      </c>
      <c r="H31">
        <f>I12+I13</f>
        <v>127.34493042038328</v>
      </c>
      <c r="I31">
        <f>(H31/G31 -1)*100</f>
        <v>0.30943685338218341</v>
      </c>
    </row>
    <row r="32" spans="1:9" x14ac:dyDescent="0.25">
      <c r="A32" t="s">
        <v>154</v>
      </c>
      <c r="B32" s="1">
        <v>2000</v>
      </c>
      <c r="C32">
        <f>H12+H13</f>
        <v>100.80000000000001</v>
      </c>
      <c r="D32">
        <f>sources_consumption!D33</f>
        <v>30678.266925714288</v>
      </c>
      <c r="F32">
        <f>(D32/E$22)*100</f>
        <v>98.866206442472233</v>
      </c>
      <c r="G32">
        <f>(F32/F$22)*C$22</f>
        <v>128.130603549444</v>
      </c>
      <c r="H32">
        <f>I12+I13</f>
        <v>127.34493042038328</v>
      </c>
      <c r="I32">
        <f>(H32/G32 -1)*100</f>
        <v>-0.61318147834802383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sources_consumption</vt:lpstr>
      <vt:lpstr>sources_distweight</vt:lpstr>
      <vt:lpstr>dist_calculations</vt:lpstr>
      <vt:lpstr>food summary</vt:lpstr>
      <vt:lpstr>meat</vt:lpstr>
      <vt:lpstr>milk</vt:lpstr>
      <vt:lpstr>fish</vt:lpstr>
      <vt:lpstr>flour</vt:lpstr>
      <vt:lpstr>vegetables</vt:lpstr>
      <vt:lpstr>fruit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 Clarmo</dc:creator>
  <cp:lastModifiedBy>Joe Clarmo</cp:lastModifiedBy>
  <dcterms:created xsi:type="dcterms:W3CDTF">2026-10-08T12:03:47Z</dcterms:created>
  <dcterms:modified xsi:type="dcterms:W3CDTF">2026-10-09T15:56:47Z</dcterms:modified>
</cp:coreProperties>
</file>